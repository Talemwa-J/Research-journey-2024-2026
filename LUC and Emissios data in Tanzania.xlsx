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STERS NM-AIST 2024\TUTORIAL\Research\Manuscript_Draft_Org\Supervisors comments and report\Result in Engineering submission\PLOS Climate journal\plos documents\"/>
    </mc:Choice>
  </mc:AlternateContent>
  <bookViews>
    <workbookView xWindow="0" yWindow="0" windowWidth="19200" windowHeight="6640"/>
  </bookViews>
  <sheets>
    <sheet name="Land" sheetId="10" r:id="rId1"/>
    <sheet name="LULUCF_Categories" sheetId="16" r:id="rId2"/>
    <sheet name="Grassland" sheetId="13" r:id="rId3"/>
    <sheet name="Cropland" sheetId="12" r:id="rId4"/>
    <sheet name="Settlement" sheetId="14" r:id="rId5"/>
    <sheet name="Forestland" sheetId="11" r:id="rId6"/>
    <sheet name="Sub-sector (further breakdown)" sheetId="17" r:id="rId7"/>
    <sheet name="Sub-sector" sheetId="18" r:id="rId8"/>
    <sheet name="Sector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4" l="1"/>
  <c r="E35" i="14"/>
  <c r="C35" i="14"/>
  <c r="B35" i="14"/>
  <c r="H35" i="11"/>
  <c r="G9" i="11"/>
  <c r="G34" i="11"/>
  <c r="D36" i="11"/>
  <c r="B36" i="11"/>
  <c r="E36" i="11"/>
  <c r="F36" i="11"/>
</calcChain>
</file>

<file path=xl/sharedStrings.xml><?xml version="1.0" encoding="utf-8"?>
<sst xmlns="http://schemas.openxmlformats.org/spreadsheetml/2006/main" count="179" uniqueCount="84">
  <si>
    <t>Categories</t>
  </si>
  <si>
    <t>CO2</t>
  </si>
  <si>
    <t xml:space="preserve">Land </t>
  </si>
  <si>
    <t xml:space="preserve">Forest land </t>
  </si>
  <si>
    <t xml:space="preserve">Forest land Remaining Forest land </t>
  </si>
  <si>
    <t xml:space="preserve">Land Converted to Forest land </t>
  </si>
  <si>
    <t xml:space="preserve">Cropland converted to Forest Land </t>
  </si>
  <si>
    <t xml:space="preserve">Grassland converted to Forest Land </t>
  </si>
  <si>
    <t xml:space="preserve">Settlements converted to Forest Land </t>
  </si>
  <si>
    <t xml:space="preserve">Other Land converted to Forest Land </t>
  </si>
  <si>
    <t xml:space="preserve">Cropland </t>
  </si>
  <si>
    <t xml:space="preserve">Cropland Remaining Cropland </t>
  </si>
  <si>
    <t xml:space="preserve">Land Converted to Cropland </t>
  </si>
  <si>
    <t>Forest Land converted to Cropland</t>
  </si>
  <si>
    <t xml:space="preserve">Grassland converted to Cropland </t>
  </si>
  <si>
    <t xml:space="preserve">Settlements converted to Cropland </t>
  </si>
  <si>
    <t xml:space="preserve">Other Land converted to Cropland </t>
  </si>
  <si>
    <t xml:space="preserve">Grassland </t>
  </si>
  <si>
    <t xml:space="preserve">Grassland Remaining Grassland </t>
  </si>
  <si>
    <t xml:space="preserve">Land Converted to Grassland </t>
  </si>
  <si>
    <t xml:space="preserve">Forest Land converted to Grassland </t>
  </si>
  <si>
    <t xml:space="preserve">Cropland converted to Grassland </t>
  </si>
  <si>
    <t xml:space="preserve">Settlements converted to Grassland </t>
  </si>
  <si>
    <t xml:space="preserve">Other Land converted to Grassland </t>
  </si>
  <si>
    <t xml:space="preserve">Settlements </t>
  </si>
  <si>
    <t xml:space="preserve">Land Converted to Settlements </t>
  </si>
  <si>
    <t xml:space="preserve">Forest Land converted to Settlements </t>
  </si>
  <si>
    <t xml:space="preserve">Cropland converted to Settlements </t>
  </si>
  <si>
    <t xml:space="preserve">Grassland converted to Settlements </t>
  </si>
  <si>
    <t xml:space="preserve">Other Land converted to Settlements </t>
  </si>
  <si>
    <t xml:space="preserve">Other Land </t>
  </si>
  <si>
    <t xml:space="preserve">Land Converted to Other land </t>
  </si>
  <si>
    <t xml:space="preserve">Forest Land converted to Other Land </t>
  </si>
  <si>
    <t xml:space="preserve">Cropland converted to Other Land </t>
  </si>
  <si>
    <t xml:space="preserve">Grassland converted to Other Land </t>
  </si>
  <si>
    <t xml:space="preserve">Settlements converted to Other Land </t>
  </si>
  <si>
    <t>Year</t>
  </si>
  <si>
    <t xml:space="preserve">3.B.1 - Forest land </t>
  </si>
  <si>
    <t xml:space="preserve">3.B.2 - Cropland </t>
  </si>
  <si>
    <t xml:space="preserve">3.B.3 - Grassland </t>
  </si>
  <si>
    <t xml:space="preserve">3.B.5 - Settlements </t>
  </si>
  <si>
    <t>3.D.1 - Harvested Wood Products</t>
  </si>
  <si>
    <t xml:space="preserve">3.B.6 - Other Land </t>
  </si>
  <si>
    <t xml:space="preserve">3.C.1 - Burning </t>
  </si>
  <si>
    <t>Sub-sector</t>
  </si>
  <si>
    <t>Share of global greenhouse gas emissions (%)</t>
  </si>
  <si>
    <t>Road</t>
  </si>
  <si>
    <t>Aviation</t>
  </si>
  <si>
    <t>Rail</t>
  </si>
  <si>
    <t>Pipeline</t>
  </si>
  <si>
    <t>Ship</t>
  </si>
  <si>
    <t>Residential</t>
  </si>
  <si>
    <t>Commercial</t>
  </si>
  <si>
    <t>Iron &amp; Steel</t>
  </si>
  <si>
    <t>Non-ferous metals</t>
  </si>
  <si>
    <t>Machinery</t>
  </si>
  <si>
    <t>Food and tobacco</t>
  </si>
  <si>
    <t>Paper, pulp &amp; printing</t>
  </si>
  <si>
    <t>Chemical &amp; petrochemical (energy)</t>
  </si>
  <si>
    <t>Other industry</t>
  </si>
  <si>
    <t>Energy in Agri &amp; Fishing</t>
  </si>
  <si>
    <t>Unallocated fuel combustion</t>
  </si>
  <si>
    <t>Coal</t>
  </si>
  <si>
    <t>Oil &amp; Natural Gas</t>
  </si>
  <si>
    <t>Cement</t>
  </si>
  <si>
    <t>Chemical &amp; petrochemical (industrial)</t>
  </si>
  <si>
    <t>Livestock &amp; Manure</t>
  </si>
  <si>
    <t>Rice Cultivation</t>
  </si>
  <si>
    <t>Agricultural Soils</t>
  </si>
  <si>
    <t>Crop Burning</t>
  </si>
  <si>
    <t>Forest Land</t>
  </si>
  <si>
    <t>Cropland</t>
  </si>
  <si>
    <t>Grassland</t>
  </si>
  <si>
    <t>Landfills</t>
  </si>
  <si>
    <t>Wastewater</t>
  </si>
  <si>
    <t>Transport</t>
  </si>
  <si>
    <t>Energy in buildings (elec and heat)</t>
  </si>
  <si>
    <t>Energy in industry</t>
  </si>
  <si>
    <t>Fugitive emissions from energy</t>
  </si>
  <si>
    <t>Sector</t>
  </si>
  <si>
    <t>Energy</t>
  </si>
  <si>
    <t>Industrial processes</t>
  </si>
  <si>
    <t>Waste</t>
  </si>
  <si>
    <t>Agriculture, Forestry &amp; Land Use (AFOLU)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</si>
</sst>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8"/>
      <name val="Microsoft Sans Serif"/>
      <family val="2"/>
    </font>
    <font>
      <sz val="8"/>
      <name val="Microsoft Sans Serif"/>
      <family val="2"/>
    </font>
    <font>
      <sz val="8"/>
      <color rgb="FF000000"/>
      <name val="Microsoft Sans Serif"/>
      <family val="2"/>
    </font>
    <font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799EDB"/>
        <bgColor indexed="64"/>
      </patternFill>
    </fill>
    <fill>
      <patternFill patternType="solid">
        <fgColor rgb="FF90EE9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1" fillId="3" borderId="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top"/>
    </xf>
    <xf numFmtId="0" fontId="7" fillId="0" borderId="0" xfId="1" applyFont="1"/>
    <xf numFmtId="0" fontId="6" fillId="0" borderId="0" xfId="1"/>
    <xf numFmtId="0" fontId="8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Land!$A$5</c:f>
              <c:strCache>
                <c:ptCount val="1"/>
                <c:pt idx="0">
                  <c:v>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Land!$B$3:$AG$3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Land!$B$5:$AG$5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-188592.65402798599</c:v>
                </c:pt>
                <c:pt idx="7">
                  <c:v>-194375.16556555999</c:v>
                </c:pt>
                <c:pt idx="8">
                  <c:v>-199765.01016927199</c:v>
                </c:pt>
                <c:pt idx="9">
                  <c:v>-206758.203071022</c:v>
                </c:pt>
                <c:pt idx="10">
                  <c:v>-210545.32176765599</c:v>
                </c:pt>
                <c:pt idx="11">
                  <c:v>-216026.14625817799</c:v>
                </c:pt>
                <c:pt idx="12">
                  <c:v>-221077.51107710099</c:v>
                </c:pt>
                <c:pt idx="13">
                  <c:v>-225104.27425094499</c:v>
                </c:pt>
                <c:pt idx="14">
                  <c:v>-232497.41054356901</c:v>
                </c:pt>
                <c:pt idx="15">
                  <c:v>-237986.77365880701</c:v>
                </c:pt>
                <c:pt idx="16">
                  <c:v>-243476.13698385499</c:v>
                </c:pt>
                <c:pt idx="17">
                  <c:v>-248965.49949762301</c:v>
                </c:pt>
                <c:pt idx="18">
                  <c:v>-254456.864021783</c:v>
                </c:pt>
                <c:pt idx="19">
                  <c:v>-259946.227808011</c:v>
                </c:pt>
                <c:pt idx="20">
                  <c:v>-265424.87803249701</c:v>
                </c:pt>
                <c:pt idx="21">
                  <c:v>-270922.95273802499</c:v>
                </c:pt>
                <c:pt idx="22">
                  <c:v>-276412.31599419803</c:v>
                </c:pt>
                <c:pt idx="23">
                  <c:v>-281901.67891922098</c:v>
                </c:pt>
                <c:pt idx="24">
                  <c:v>-287391.04212733201</c:v>
                </c:pt>
                <c:pt idx="25">
                  <c:v>-292880.405186655</c:v>
                </c:pt>
                <c:pt idx="26">
                  <c:v>-298612.44018715498</c:v>
                </c:pt>
                <c:pt idx="27">
                  <c:v>-304089.855227675</c:v>
                </c:pt>
                <c:pt idx="28">
                  <c:v>-308347.78498350497</c:v>
                </c:pt>
                <c:pt idx="29">
                  <c:v>-315044.68675732199</c:v>
                </c:pt>
                <c:pt idx="30">
                  <c:v>-320522.101766826</c:v>
                </c:pt>
                <c:pt idx="31">
                  <c:v>-323921.15167961299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9-4515-8B4D-D9E9B0A8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040559"/>
        <c:axId val="1562043439"/>
      </c:barChart>
      <c:catAx>
        <c:axId val="15620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043439"/>
        <c:crosses val="autoZero"/>
        <c:auto val="1"/>
        <c:lblAlgn val="ctr"/>
        <c:lblOffset val="100"/>
        <c:noMultiLvlLbl val="0"/>
      </c:catAx>
      <c:valAx>
        <c:axId val="15620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040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Land!$C$44</c:f>
              <c:strCache>
                <c:ptCount val="1"/>
                <c:pt idx="0">
                  <c:v>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Land!$C$45:$C$76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-187394.403020898</c:v>
                </c:pt>
                <c:pt idx="7">
                  <c:v>-189008.36829769899</c:v>
                </c:pt>
                <c:pt idx="8">
                  <c:v>-190611.055871199</c:v>
                </c:pt>
                <c:pt idx="9">
                  <c:v>-193813.112619747</c:v>
                </c:pt>
                <c:pt idx="10">
                  <c:v>-193816.430951688</c:v>
                </c:pt>
                <c:pt idx="11">
                  <c:v>-195419.11882833601</c:v>
                </c:pt>
                <c:pt idx="12">
                  <c:v>-196580.633024385</c:v>
                </c:pt>
                <c:pt idx="13">
                  <c:v>-196720.72053733701</c:v>
                </c:pt>
                <c:pt idx="14">
                  <c:v>-200227.18140167001</c:v>
                </c:pt>
                <c:pt idx="15">
                  <c:v>-201829.869048591</c:v>
                </c:pt>
                <c:pt idx="16">
                  <c:v>-203432.55665746101</c:v>
                </c:pt>
                <c:pt idx="17">
                  <c:v>-205035.24405283699</c:v>
                </c:pt>
                <c:pt idx="18">
                  <c:v>-206637.93156581599</c:v>
                </c:pt>
                <c:pt idx="19">
                  <c:v>-208240.619646217</c:v>
                </c:pt>
                <c:pt idx="20">
                  <c:v>-209843.30708129899</c:v>
                </c:pt>
                <c:pt idx="21">
                  <c:v>-211445.99465046299</c:v>
                </c:pt>
                <c:pt idx="22">
                  <c:v>-213048.68233708901</c:v>
                </c:pt>
                <c:pt idx="23">
                  <c:v>-214651.36993505</c:v>
                </c:pt>
                <c:pt idx="24">
                  <c:v>-216254.057381041</c:v>
                </c:pt>
                <c:pt idx="25">
                  <c:v>-217856.74487071799</c:v>
                </c:pt>
                <c:pt idx="26">
                  <c:v>-219459.432787072</c:v>
                </c:pt>
                <c:pt idx="27">
                  <c:v>-221062.12008387601</c:v>
                </c:pt>
                <c:pt idx="28">
                  <c:v>-220321.325755506</c:v>
                </c:pt>
                <c:pt idx="29">
                  <c:v>-224267.495401355</c:v>
                </c:pt>
                <c:pt idx="30">
                  <c:v>-225870.182975679</c:v>
                </c:pt>
                <c:pt idx="31">
                  <c:v>-225394.504603985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2-435A-9CF2-3C6FDAAB0136}"/>
            </c:ext>
          </c:extLst>
        </c:ser>
        <c:ser>
          <c:idx val="1"/>
          <c:order val="1"/>
          <c:tx>
            <c:strRef>
              <c:f>Land!$D$44</c:f>
              <c:strCache>
                <c:ptCount val="1"/>
                <c:pt idx="0">
                  <c:v>Cropland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Land!$D$45:$D$76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25208.847398642702</c:v>
                </c:pt>
                <c:pt idx="7">
                  <c:v>24339.644305422</c:v>
                </c:pt>
                <c:pt idx="8">
                  <c:v>23439.336118474701</c:v>
                </c:pt>
                <c:pt idx="9">
                  <c:v>22539.070547985299</c:v>
                </c:pt>
                <c:pt idx="10">
                  <c:v>21633.441297907499</c:v>
                </c:pt>
                <c:pt idx="11">
                  <c:v>20738.539718229498</c:v>
                </c:pt>
                <c:pt idx="12">
                  <c:v>19838.274206591199</c:v>
                </c:pt>
                <c:pt idx="13">
                  <c:v>18938.008671135602</c:v>
                </c:pt>
                <c:pt idx="14">
                  <c:v>18037.743394435402</c:v>
                </c:pt>
                <c:pt idx="15">
                  <c:v>17137.477806346</c:v>
                </c:pt>
                <c:pt idx="16">
                  <c:v>16237.2123553703</c:v>
                </c:pt>
                <c:pt idx="17">
                  <c:v>15336.947117207999</c:v>
                </c:pt>
                <c:pt idx="18">
                  <c:v>14434.6805039924</c:v>
                </c:pt>
                <c:pt idx="19">
                  <c:v>13534.414851736199</c:v>
                </c:pt>
                <c:pt idx="20">
                  <c:v>12644.8620437881</c:v>
                </c:pt>
                <c:pt idx="21">
                  <c:v>11735.885071398299</c:v>
                </c:pt>
                <c:pt idx="22">
                  <c:v>10835.619483308899</c:v>
                </c:pt>
                <c:pt idx="23">
                  <c:v>9935.3542066086902</c:v>
                </c:pt>
                <c:pt idx="24">
                  <c:v>9035.0886711530493</c:v>
                </c:pt>
                <c:pt idx="25">
                  <c:v>8134.8231595147899</c:v>
                </c:pt>
                <c:pt idx="26">
                  <c:v>7234.5753581674799</c:v>
                </c:pt>
                <c:pt idx="27">
                  <c:v>6334.31099983898</c:v>
                </c:pt>
                <c:pt idx="28">
                  <c:v>4310.0501635788696</c:v>
                </c:pt>
                <c:pt idx="29">
                  <c:v>4533.7815944022204</c:v>
                </c:pt>
                <c:pt idx="30">
                  <c:v>3633.5172570115801</c:v>
                </c:pt>
                <c:pt idx="31">
                  <c:v>2733.2524927842701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E2-435A-9CF2-3C6FDAAB0136}"/>
            </c:ext>
          </c:extLst>
        </c:ser>
        <c:ser>
          <c:idx val="2"/>
          <c:order val="2"/>
          <c:tx>
            <c:strRef>
              <c:f>Land!$E$44</c:f>
              <c:strCache>
                <c:ptCount val="1"/>
                <c:pt idx="0">
                  <c:v>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Land!$E$45:$E$76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-26980.696261439702</c:v>
                </c:pt>
                <c:pt idx="7">
                  <c:v>-30046.023574893901</c:v>
                </c:pt>
                <c:pt idx="8">
                  <c:v>-33101.075408784302</c:v>
                </c:pt>
                <c:pt idx="9">
                  <c:v>-36160.149936868103</c:v>
                </c:pt>
                <c:pt idx="10">
                  <c:v>-39219.224642422603</c:v>
                </c:pt>
                <c:pt idx="11">
                  <c:v>-42278.299095431401</c:v>
                </c:pt>
                <c:pt idx="12">
                  <c:v>-45337.373724743098</c:v>
                </c:pt>
                <c:pt idx="13">
                  <c:v>-48396.4482528269</c:v>
                </c:pt>
                <c:pt idx="14">
                  <c:v>-51455.522882138597</c:v>
                </c:pt>
                <c:pt idx="15">
                  <c:v>-54514.597335147497</c:v>
                </c:pt>
                <c:pt idx="16">
                  <c:v>-57573.671964459201</c:v>
                </c:pt>
                <c:pt idx="17">
                  <c:v>-60632.746492543003</c:v>
                </c:pt>
                <c:pt idx="18">
                  <c:v>-63691.821123022499</c:v>
                </c:pt>
                <c:pt idx="19">
                  <c:v>-66750.895651106301</c:v>
                </c:pt>
                <c:pt idx="20">
                  <c:v>-69809.970280417998</c:v>
                </c:pt>
                <c:pt idx="21">
                  <c:v>-72869.044808501902</c:v>
                </c:pt>
                <c:pt idx="22">
                  <c:v>-75928.119362738595</c:v>
                </c:pt>
                <c:pt idx="23">
                  <c:v>-78987.193890822396</c:v>
                </c:pt>
                <c:pt idx="24">
                  <c:v>-82046.268520134094</c:v>
                </c:pt>
                <c:pt idx="25">
                  <c:v>-85105.343048217997</c:v>
                </c:pt>
                <c:pt idx="26">
                  <c:v>-88164.417602454705</c:v>
                </c:pt>
                <c:pt idx="27">
                  <c:v>-91223.4922067812</c:v>
                </c:pt>
                <c:pt idx="28">
                  <c:v>-94282.566836092999</c:v>
                </c:pt>
                <c:pt idx="29">
                  <c:v>-97341.641364176801</c:v>
                </c:pt>
                <c:pt idx="30">
                  <c:v>-100400.715918414</c:v>
                </c:pt>
                <c:pt idx="31">
                  <c:v>-103459.79044649701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E2-435A-9CF2-3C6FDAAB0136}"/>
            </c:ext>
          </c:extLst>
        </c:ser>
        <c:ser>
          <c:idx val="3"/>
          <c:order val="3"/>
          <c:tx>
            <c:strRef>
              <c:f>Land!$F$44</c:f>
              <c:strCache>
                <c:ptCount val="1"/>
                <c:pt idx="0">
                  <c:v>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Land!$F$45:$F$76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40.260308548899999</c:v>
                </c:pt>
                <c:pt idx="7">
                  <c:v>100.80111014013301</c:v>
                </c:pt>
                <c:pt idx="8">
                  <c:v>151.20157468936699</c:v>
                </c:pt>
                <c:pt idx="9">
                  <c:v>201.60220937193299</c:v>
                </c:pt>
                <c:pt idx="10">
                  <c:v>252.00275669616701</c:v>
                </c:pt>
                <c:pt idx="11">
                  <c:v>302.4032212454</c:v>
                </c:pt>
                <c:pt idx="12">
                  <c:v>352.80385592796699</c:v>
                </c:pt>
                <c:pt idx="13">
                  <c:v>403.20432047719999</c:v>
                </c:pt>
                <c:pt idx="14">
                  <c:v>453.60479593476703</c:v>
                </c:pt>
                <c:pt idx="15">
                  <c:v>504.00543061733299</c:v>
                </c:pt>
                <c:pt idx="16">
                  <c:v>554.40589516656701</c:v>
                </c:pt>
                <c:pt idx="17">
                  <c:v>604.80654075746702</c:v>
                </c:pt>
                <c:pt idx="18">
                  <c:v>655.20689934003303</c:v>
                </c:pt>
                <c:pt idx="19">
                  <c:v>705.60743575593301</c:v>
                </c:pt>
                <c:pt idx="20">
                  <c:v>756.00808134683302</c:v>
                </c:pt>
                <c:pt idx="21">
                  <c:v>806.40854589606704</c:v>
                </c:pt>
                <c:pt idx="22">
                  <c:v>856.809180578633</c:v>
                </c:pt>
                <c:pt idx="23">
                  <c:v>907.20965603620004</c:v>
                </c:pt>
                <c:pt idx="24">
                  <c:v>957.61012058543304</c:v>
                </c:pt>
                <c:pt idx="25">
                  <c:v>1008.010755268</c:v>
                </c:pt>
                <c:pt idx="26">
                  <c:v>1058.4112198172299</c:v>
                </c:pt>
                <c:pt idx="27">
                  <c:v>1108.81176714147</c:v>
                </c:pt>
                <c:pt idx="28">
                  <c:v>1159.2124018240299</c:v>
                </c:pt>
                <c:pt idx="29">
                  <c:v>1209.61286637327</c:v>
                </c:pt>
                <c:pt idx="30">
                  <c:v>1260.01351196417</c:v>
                </c:pt>
                <c:pt idx="31">
                  <c:v>1310.4139765134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E2-435A-9CF2-3C6FDAAB0136}"/>
            </c:ext>
          </c:extLst>
        </c:ser>
        <c:ser>
          <c:idx val="4"/>
          <c:order val="4"/>
          <c:tx>
            <c:strRef>
              <c:f>Land!$G$44</c:f>
              <c:strCache>
                <c:ptCount val="1"/>
                <c:pt idx="0">
                  <c:v>Other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Land!$B$45:$B$76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Land!$G$45:$G$76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533.33754716055</c:v>
                </c:pt>
                <c:pt idx="7">
                  <c:v>238.78089147036701</c:v>
                </c:pt>
                <c:pt idx="8">
                  <c:v>356.58341754685802</c:v>
                </c:pt>
                <c:pt idx="9">
                  <c:v>474.386728236208</c:v>
                </c:pt>
                <c:pt idx="10">
                  <c:v>604.88977185055796</c:v>
                </c:pt>
                <c:pt idx="11">
                  <c:v>630.32872611490802</c:v>
                </c:pt>
                <c:pt idx="12">
                  <c:v>649.41760950806702</c:v>
                </c:pt>
                <c:pt idx="13">
                  <c:v>671.68154760574998</c:v>
                </c:pt>
                <c:pt idx="14">
                  <c:v>693.94554987009997</c:v>
                </c:pt>
                <c:pt idx="15">
                  <c:v>716.20948796778305</c:v>
                </c:pt>
                <c:pt idx="16">
                  <c:v>738.473387527608</c:v>
                </c:pt>
                <c:pt idx="17">
                  <c:v>760.73738979195798</c:v>
                </c:pt>
                <c:pt idx="18">
                  <c:v>783.00126372297495</c:v>
                </c:pt>
                <c:pt idx="19">
                  <c:v>805.26520182065804</c:v>
                </c:pt>
                <c:pt idx="20">
                  <c:v>827.52920408500802</c:v>
                </c:pt>
                <c:pt idx="21">
                  <c:v>849.79310364483297</c:v>
                </c:pt>
                <c:pt idx="22">
                  <c:v>872.05704174251696</c:v>
                </c:pt>
                <c:pt idx="23">
                  <c:v>894.32104400686706</c:v>
                </c:pt>
                <c:pt idx="24">
                  <c:v>916.58498210455002</c:v>
                </c:pt>
                <c:pt idx="25">
                  <c:v>938.84881749770796</c:v>
                </c:pt>
                <c:pt idx="26">
                  <c:v>718.423624387058</c:v>
                </c:pt>
                <c:pt idx="27">
                  <c:v>752.63429600140796</c:v>
                </c:pt>
                <c:pt idx="28">
                  <c:v>786.84504269075796</c:v>
                </c:pt>
                <c:pt idx="29">
                  <c:v>821.05554743391701</c:v>
                </c:pt>
                <c:pt idx="30">
                  <c:v>855.26635828993301</c:v>
                </c:pt>
                <c:pt idx="31">
                  <c:v>889.47690157094996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E2-435A-9CF2-3C6FDAAB0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06769295"/>
        <c:axId val="1806750095"/>
      </c:barChart>
      <c:catAx>
        <c:axId val="180676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50095"/>
        <c:crosses val="autoZero"/>
        <c:auto val="1"/>
        <c:lblAlgn val="ctr"/>
        <c:lblOffset val="100"/>
        <c:noMultiLvlLbl val="0"/>
      </c:catAx>
      <c:valAx>
        <c:axId val="180675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Carbon Dioxide Emissions Equivalents (Gg CO2e)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6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79427661794983"/>
          <c:y val="3.7089879944259593E-2"/>
          <c:w val="0.83751361404734159"/>
          <c:h val="0.833383542831622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Land!$C$83</c:f>
              <c:strCache>
                <c:ptCount val="1"/>
                <c:pt idx="0">
                  <c:v>Land Converted to 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Land!$C$84:$C$115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-3155.3328526550399</c:v>
                </c:pt>
                <c:pt idx="7">
                  <c:v>-6450.2726259581495</c:v>
                </c:pt>
                <c:pt idx="8">
                  <c:v>-9675.4088296107893</c:v>
                </c:pt>
                <c:pt idx="9">
                  <c:v>-12900.545245102199</c:v>
                </c:pt>
                <c:pt idx="10">
                  <c:v>-16125.681388233799</c:v>
                </c:pt>
                <c:pt idx="11">
                  <c:v>-19350.817936394698</c:v>
                </c:pt>
                <c:pt idx="12">
                  <c:v>-22575.954140047401</c:v>
                </c:pt>
                <c:pt idx="13">
                  <c:v>-25799.876951472299</c:v>
                </c:pt>
                <c:pt idx="14">
                  <c:v>-29026.226662133198</c:v>
                </c:pt>
                <c:pt idx="15">
                  <c:v>-32251.362940860901</c:v>
                </c:pt>
                <c:pt idx="16">
                  <c:v>-35476.499219588499</c:v>
                </c:pt>
                <c:pt idx="17">
                  <c:v>-38701.635423241198</c:v>
                </c:pt>
                <c:pt idx="18">
                  <c:v>-41926.771566372801</c:v>
                </c:pt>
                <c:pt idx="19">
                  <c:v>-45151.908316631903</c:v>
                </c:pt>
                <c:pt idx="20">
                  <c:v>-48377.0445599901</c:v>
                </c:pt>
                <c:pt idx="21">
                  <c:v>-51602.180799012101</c:v>
                </c:pt>
                <c:pt idx="22">
                  <c:v>-54827.317117445396</c:v>
                </c:pt>
                <c:pt idx="23">
                  <c:v>-58052.453561734001</c:v>
                </c:pt>
                <c:pt idx="24">
                  <c:v>-61277.589639531303</c:v>
                </c:pt>
                <c:pt idx="25">
                  <c:v>-64502.725803478301</c:v>
                </c:pt>
                <c:pt idx="26">
                  <c:v>-67727.862391344795</c:v>
                </c:pt>
                <c:pt idx="27">
                  <c:v>-70952.998494770902</c:v>
                </c:pt>
                <c:pt idx="28">
                  <c:v>-74178.134949967905</c:v>
                </c:pt>
                <c:pt idx="29">
                  <c:v>-77403.271113914903</c:v>
                </c:pt>
                <c:pt idx="30">
                  <c:v>-80628.407536220402</c:v>
                </c:pt>
                <c:pt idx="31">
                  <c:v>-83853.543739872999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4-4A48-922C-33F7982F2990}"/>
            </c:ext>
          </c:extLst>
        </c:ser>
        <c:ser>
          <c:idx val="1"/>
          <c:order val="1"/>
          <c:tx>
            <c:strRef>
              <c:f>Land!$D$83</c:f>
              <c:strCache>
                <c:ptCount val="1"/>
                <c:pt idx="0">
                  <c:v>Land Converted to Cropland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Land!$D$84:$D$115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233.374049957767</c:v>
                </c:pt>
                <c:pt idx="7">
                  <c:v>529.10991650339201</c:v>
                </c:pt>
                <c:pt idx="8">
                  <c:v>793.60071399115805</c:v>
                </c:pt>
                <c:pt idx="9">
                  <c:v>1058.13421241678</c:v>
                </c:pt>
                <c:pt idx="10">
                  <c:v>1322.7594912478801</c:v>
                </c:pt>
                <c:pt idx="11">
                  <c:v>1587.20142798232</c:v>
                </c:pt>
                <c:pt idx="12">
                  <c:v>1851.7349264079401</c:v>
                </c:pt>
                <c:pt idx="13">
                  <c:v>2116.26845986737</c:v>
                </c:pt>
                <c:pt idx="14">
                  <c:v>2380.80214197347</c:v>
                </c:pt>
                <c:pt idx="15">
                  <c:v>2645.3356403991002</c:v>
                </c:pt>
                <c:pt idx="16">
                  <c:v>2909.8691738585298</c:v>
                </c:pt>
                <c:pt idx="17">
                  <c:v>3174.4028945024902</c:v>
                </c:pt>
                <c:pt idx="18">
                  <c:v>3438.93625900192</c:v>
                </c:pt>
                <c:pt idx="19">
                  <c:v>3703.4696932608799</c:v>
                </c:pt>
                <c:pt idx="20">
                  <c:v>3976.7149353189502</c:v>
                </c:pt>
                <c:pt idx="21">
                  <c:v>4232.5369473642704</c:v>
                </c:pt>
                <c:pt idx="22">
                  <c:v>4497.0704457899001</c:v>
                </c:pt>
                <c:pt idx="23">
                  <c:v>4761.6041278960001</c:v>
                </c:pt>
                <c:pt idx="24">
                  <c:v>5026.1376613554303</c:v>
                </c:pt>
                <c:pt idx="25">
                  <c:v>5290.6711597810599</c:v>
                </c:pt>
                <c:pt idx="26">
                  <c:v>5555.2224449488203</c:v>
                </c:pt>
                <c:pt idx="27">
                  <c:v>5819.7570454265897</c:v>
                </c:pt>
                <c:pt idx="28">
                  <c:v>6084.2913886522101</c:v>
                </c:pt>
                <c:pt idx="29">
                  <c:v>6348.8256933399798</c:v>
                </c:pt>
                <c:pt idx="30">
                  <c:v>6613.3603323556099</c:v>
                </c:pt>
                <c:pt idx="31">
                  <c:v>6877.8946370433696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34-4A48-922C-33F7982F2990}"/>
            </c:ext>
          </c:extLst>
        </c:ser>
        <c:ser>
          <c:idx val="2"/>
          <c:order val="2"/>
          <c:tx>
            <c:strRef>
              <c:f>Land!$E$83</c:f>
              <c:strCache>
                <c:ptCount val="1"/>
                <c:pt idx="0">
                  <c:v>Land Converted to 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Land!$E$84:$E$115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-3403.3936910973098</c:v>
                </c:pt>
                <c:pt idx="7">
                  <c:v>-6815.2701313610796</c:v>
                </c:pt>
                <c:pt idx="8">
                  <c:v>-10216.871092061099</c:v>
                </c:pt>
                <c:pt idx="9">
                  <c:v>-13622.4947469545</c:v>
                </c:pt>
                <c:pt idx="10">
                  <c:v>-17028.1185793185</c:v>
                </c:pt>
                <c:pt idx="11">
                  <c:v>-20433.742159137</c:v>
                </c:pt>
                <c:pt idx="12">
                  <c:v>-23839.365915258299</c:v>
                </c:pt>
                <c:pt idx="13">
                  <c:v>-27244.989570151702</c:v>
                </c:pt>
                <c:pt idx="14">
                  <c:v>-30650.613326273</c:v>
                </c:pt>
                <c:pt idx="15">
                  <c:v>-34056.236906091501</c:v>
                </c:pt>
                <c:pt idx="16">
                  <c:v>-37461.860662212799</c:v>
                </c:pt>
                <c:pt idx="17">
                  <c:v>-40867.484317106202</c:v>
                </c:pt>
                <c:pt idx="18">
                  <c:v>-44273.108074395299</c:v>
                </c:pt>
                <c:pt idx="19">
                  <c:v>-47678.731729288702</c:v>
                </c:pt>
                <c:pt idx="20">
                  <c:v>-51084.35548541</c:v>
                </c:pt>
                <c:pt idx="21">
                  <c:v>-54489.979140303498</c:v>
                </c:pt>
                <c:pt idx="22">
                  <c:v>-57895.602821349799</c:v>
                </c:pt>
                <c:pt idx="23">
                  <c:v>-61301.226476243202</c:v>
                </c:pt>
                <c:pt idx="24">
                  <c:v>-64706.850232364501</c:v>
                </c:pt>
                <c:pt idx="25">
                  <c:v>-68112.473887258006</c:v>
                </c:pt>
                <c:pt idx="26">
                  <c:v>-71518.097568304307</c:v>
                </c:pt>
                <c:pt idx="27">
                  <c:v>-74923.721299440498</c:v>
                </c:pt>
                <c:pt idx="28">
                  <c:v>-78329.345055561804</c:v>
                </c:pt>
                <c:pt idx="29">
                  <c:v>-81734.968710455199</c:v>
                </c:pt>
                <c:pt idx="30">
                  <c:v>-85140.592391501501</c:v>
                </c:pt>
                <c:pt idx="31">
                  <c:v>-88546.216046394999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34-4A48-922C-33F7982F2990}"/>
            </c:ext>
          </c:extLst>
        </c:ser>
        <c:ser>
          <c:idx val="3"/>
          <c:order val="3"/>
          <c:tx>
            <c:strRef>
              <c:f>Land!$F$83</c:f>
              <c:strCache>
                <c:ptCount val="1"/>
                <c:pt idx="0">
                  <c:v>Land Converted to 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Land!$F$84:$F$115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40.260308548899999</c:v>
                </c:pt>
                <c:pt idx="7">
                  <c:v>100.80111014013301</c:v>
                </c:pt>
                <c:pt idx="8">
                  <c:v>151.20157468936699</c:v>
                </c:pt>
                <c:pt idx="9">
                  <c:v>201.60220937193299</c:v>
                </c:pt>
                <c:pt idx="10">
                  <c:v>252.00275669616701</c:v>
                </c:pt>
                <c:pt idx="11">
                  <c:v>302.4032212454</c:v>
                </c:pt>
                <c:pt idx="12">
                  <c:v>352.80385592796699</c:v>
                </c:pt>
                <c:pt idx="13">
                  <c:v>403.20432047719999</c:v>
                </c:pt>
                <c:pt idx="14">
                  <c:v>453.60479593476703</c:v>
                </c:pt>
                <c:pt idx="15">
                  <c:v>504.00543061733299</c:v>
                </c:pt>
                <c:pt idx="16">
                  <c:v>554.40589516656701</c:v>
                </c:pt>
                <c:pt idx="17">
                  <c:v>604.80654075746702</c:v>
                </c:pt>
                <c:pt idx="18">
                  <c:v>655.20689934003303</c:v>
                </c:pt>
                <c:pt idx="19">
                  <c:v>705.60743575593301</c:v>
                </c:pt>
                <c:pt idx="20">
                  <c:v>756.00808134683302</c:v>
                </c:pt>
                <c:pt idx="21">
                  <c:v>806.40854589606704</c:v>
                </c:pt>
                <c:pt idx="22">
                  <c:v>856.809180578633</c:v>
                </c:pt>
                <c:pt idx="23">
                  <c:v>907.20965603620004</c:v>
                </c:pt>
                <c:pt idx="24">
                  <c:v>957.61012058543304</c:v>
                </c:pt>
                <c:pt idx="25">
                  <c:v>1008.010755268</c:v>
                </c:pt>
                <c:pt idx="26">
                  <c:v>1058.4112198172299</c:v>
                </c:pt>
                <c:pt idx="27">
                  <c:v>1108.81176714147</c:v>
                </c:pt>
                <c:pt idx="28">
                  <c:v>1159.2124018240299</c:v>
                </c:pt>
                <c:pt idx="29">
                  <c:v>1209.61286637327</c:v>
                </c:pt>
                <c:pt idx="30">
                  <c:v>1260.01351196417</c:v>
                </c:pt>
                <c:pt idx="31">
                  <c:v>1310.4139765134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34-4A48-922C-33F7982F2990}"/>
            </c:ext>
          </c:extLst>
        </c:ser>
        <c:ser>
          <c:idx val="4"/>
          <c:order val="4"/>
          <c:tx>
            <c:strRef>
              <c:f>Land!$G$83</c:f>
              <c:strCache>
                <c:ptCount val="1"/>
                <c:pt idx="0">
                  <c:v>Land Converted to Other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Land!$B$84:$B$115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Land!$G$84:$G$115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533.33754716055</c:v>
                </c:pt>
                <c:pt idx="7">
                  <c:v>238.78089147036701</c:v>
                </c:pt>
                <c:pt idx="8">
                  <c:v>356.58341754685802</c:v>
                </c:pt>
                <c:pt idx="9">
                  <c:v>474.386728236208</c:v>
                </c:pt>
                <c:pt idx="10">
                  <c:v>604.88977185055796</c:v>
                </c:pt>
                <c:pt idx="11">
                  <c:v>630.32872611490802</c:v>
                </c:pt>
                <c:pt idx="12">
                  <c:v>649.41760950806702</c:v>
                </c:pt>
                <c:pt idx="13">
                  <c:v>671.68154760574998</c:v>
                </c:pt>
                <c:pt idx="14">
                  <c:v>693.94554987009997</c:v>
                </c:pt>
                <c:pt idx="15">
                  <c:v>716.20948796778305</c:v>
                </c:pt>
                <c:pt idx="16">
                  <c:v>738.473387527608</c:v>
                </c:pt>
                <c:pt idx="17">
                  <c:v>760.73738979195798</c:v>
                </c:pt>
                <c:pt idx="18">
                  <c:v>783.00126372297495</c:v>
                </c:pt>
                <c:pt idx="19">
                  <c:v>805.26520182065804</c:v>
                </c:pt>
                <c:pt idx="20">
                  <c:v>827.52920408500802</c:v>
                </c:pt>
                <c:pt idx="21">
                  <c:v>849.79310364483297</c:v>
                </c:pt>
                <c:pt idx="22">
                  <c:v>872.05704174251696</c:v>
                </c:pt>
                <c:pt idx="23">
                  <c:v>894.32104400686706</c:v>
                </c:pt>
                <c:pt idx="24">
                  <c:v>916.58498210455002</c:v>
                </c:pt>
                <c:pt idx="25">
                  <c:v>938.84881749770796</c:v>
                </c:pt>
                <c:pt idx="26">
                  <c:v>718.423624387058</c:v>
                </c:pt>
                <c:pt idx="27">
                  <c:v>752.63429600140796</c:v>
                </c:pt>
                <c:pt idx="28">
                  <c:v>786.84504269075796</c:v>
                </c:pt>
                <c:pt idx="29">
                  <c:v>821.05554743391701</c:v>
                </c:pt>
                <c:pt idx="30">
                  <c:v>855.26635828993301</c:v>
                </c:pt>
                <c:pt idx="31">
                  <c:v>889.47690157094996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34-4A48-922C-33F7982F2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6766415"/>
        <c:axId val="1806774095"/>
      </c:barChart>
      <c:catAx>
        <c:axId val="18067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74095"/>
        <c:crosses val="autoZero"/>
        <c:auto val="1"/>
        <c:lblAlgn val="ctr"/>
        <c:lblOffset val="100"/>
        <c:noMultiLvlLbl val="0"/>
      </c:catAx>
      <c:valAx>
        <c:axId val="180677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CO2 Emission and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676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LULUCF_Categories!$C$12</c:f>
              <c:strCache>
                <c:ptCount val="1"/>
                <c:pt idx="0">
                  <c:v>3.B.1 - 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LULUCF_Categories!$C$13:$C$44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-187394.403020898</c:v>
                </c:pt>
                <c:pt idx="7">
                  <c:v>-189008.36829769899</c:v>
                </c:pt>
                <c:pt idx="8">
                  <c:v>-190611.055871199</c:v>
                </c:pt>
                <c:pt idx="9">
                  <c:v>-193813.112619747</c:v>
                </c:pt>
                <c:pt idx="10">
                  <c:v>-193816.430951688</c:v>
                </c:pt>
                <c:pt idx="11">
                  <c:v>-195419.11882833601</c:v>
                </c:pt>
                <c:pt idx="12">
                  <c:v>-196580.633024385</c:v>
                </c:pt>
                <c:pt idx="13">
                  <c:v>-196720.72053733701</c:v>
                </c:pt>
                <c:pt idx="14">
                  <c:v>-200227.18140167001</c:v>
                </c:pt>
                <c:pt idx="15">
                  <c:v>-201829.869048591</c:v>
                </c:pt>
                <c:pt idx="16">
                  <c:v>-203432.55665746101</c:v>
                </c:pt>
                <c:pt idx="17">
                  <c:v>-205035.24405283699</c:v>
                </c:pt>
                <c:pt idx="18">
                  <c:v>-206637.93156581599</c:v>
                </c:pt>
                <c:pt idx="19">
                  <c:v>-208240.619646217</c:v>
                </c:pt>
                <c:pt idx="20">
                  <c:v>-209843.30708129899</c:v>
                </c:pt>
                <c:pt idx="21">
                  <c:v>-211445.99465046299</c:v>
                </c:pt>
                <c:pt idx="22">
                  <c:v>-213048.68233708901</c:v>
                </c:pt>
                <c:pt idx="23">
                  <c:v>-214651.36993505</c:v>
                </c:pt>
                <c:pt idx="24">
                  <c:v>-216254.057381041</c:v>
                </c:pt>
                <c:pt idx="25">
                  <c:v>-217856.74487071799</c:v>
                </c:pt>
                <c:pt idx="26">
                  <c:v>-219459.432787072</c:v>
                </c:pt>
                <c:pt idx="27">
                  <c:v>-221062.12008387601</c:v>
                </c:pt>
                <c:pt idx="28">
                  <c:v>-220321.325755506</c:v>
                </c:pt>
                <c:pt idx="29">
                  <c:v>-224267.495401355</c:v>
                </c:pt>
                <c:pt idx="30">
                  <c:v>-225870.182975679</c:v>
                </c:pt>
                <c:pt idx="31">
                  <c:v>-225394.504603985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A-4091-AEF4-73DD6BB37B62}"/>
            </c:ext>
          </c:extLst>
        </c:ser>
        <c:ser>
          <c:idx val="1"/>
          <c:order val="1"/>
          <c:tx>
            <c:strRef>
              <c:f>LULUCF_Categories!$D$12</c:f>
              <c:strCache>
                <c:ptCount val="1"/>
                <c:pt idx="0">
                  <c:v>3.B.2 - Cropland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LULUCF_Categories!$D$13:$D$44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25208.847398642702</c:v>
                </c:pt>
                <c:pt idx="7">
                  <c:v>24339.644305422</c:v>
                </c:pt>
                <c:pt idx="8">
                  <c:v>23439.336118474701</c:v>
                </c:pt>
                <c:pt idx="9">
                  <c:v>22539.070547985299</c:v>
                </c:pt>
                <c:pt idx="10">
                  <c:v>21633.441297907499</c:v>
                </c:pt>
                <c:pt idx="11">
                  <c:v>20738.539718229498</c:v>
                </c:pt>
                <c:pt idx="12">
                  <c:v>19838.274206591199</c:v>
                </c:pt>
                <c:pt idx="13">
                  <c:v>18938.008671135602</c:v>
                </c:pt>
                <c:pt idx="14">
                  <c:v>18037.743394435402</c:v>
                </c:pt>
                <c:pt idx="15">
                  <c:v>17137.477806346</c:v>
                </c:pt>
                <c:pt idx="16">
                  <c:v>16237.2123553703</c:v>
                </c:pt>
                <c:pt idx="17">
                  <c:v>15336.947117207999</c:v>
                </c:pt>
                <c:pt idx="18">
                  <c:v>14434.6805039924</c:v>
                </c:pt>
                <c:pt idx="19">
                  <c:v>13534.414851736199</c:v>
                </c:pt>
                <c:pt idx="20">
                  <c:v>12644.8620437881</c:v>
                </c:pt>
                <c:pt idx="21">
                  <c:v>11735.885071398299</c:v>
                </c:pt>
                <c:pt idx="22">
                  <c:v>10835.619483308899</c:v>
                </c:pt>
                <c:pt idx="23">
                  <c:v>9935.3542066086902</c:v>
                </c:pt>
                <c:pt idx="24">
                  <c:v>9035.0886711530493</c:v>
                </c:pt>
                <c:pt idx="25">
                  <c:v>8134.8231595147899</c:v>
                </c:pt>
                <c:pt idx="26">
                  <c:v>7234.5753581674799</c:v>
                </c:pt>
                <c:pt idx="27">
                  <c:v>6334.31099983898</c:v>
                </c:pt>
                <c:pt idx="28">
                  <c:v>4310.0501635788696</c:v>
                </c:pt>
                <c:pt idx="29">
                  <c:v>4533.7815944022204</c:v>
                </c:pt>
                <c:pt idx="30">
                  <c:v>3633.5172570115801</c:v>
                </c:pt>
                <c:pt idx="31">
                  <c:v>2733.2524927842701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DA-4091-AEF4-73DD6BB37B62}"/>
            </c:ext>
          </c:extLst>
        </c:ser>
        <c:ser>
          <c:idx val="2"/>
          <c:order val="2"/>
          <c:tx>
            <c:strRef>
              <c:f>LULUCF_Categories!$E$12</c:f>
              <c:strCache>
                <c:ptCount val="1"/>
                <c:pt idx="0">
                  <c:v>3.B.3 - 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LULUCF_Categories!$E$13:$E$44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-26980.696261439702</c:v>
                </c:pt>
                <c:pt idx="7">
                  <c:v>-30046.023574893901</c:v>
                </c:pt>
                <c:pt idx="8">
                  <c:v>-33101.075408784302</c:v>
                </c:pt>
                <c:pt idx="9">
                  <c:v>-36160.149936868103</c:v>
                </c:pt>
                <c:pt idx="10">
                  <c:v>-39219.224642422603</c:v>
                </c:pt>
                <c:pt idx="11">
                  <c:v>-42278.299095431401</c:v>
                </c:pt>
                <c:pt idx="12">
                  <c:v>-45337.373724743098</c:v>
                </c:pt>
                <c:pt idx="13">
                  <c:v>-48396.4482528269</c:v>
                </c:pt>
                <c:pt idx="14">
                  <c:v>-51455.522882138597</c:v>
                </c:pt>
                <c:pt idx="15">
                  <c:v>-54514.597335147497</c:v>
                </c:pt>
                <c:pt idx="16">
                  <c:v>-57573.671964459201</c:v>
                </c:pt>
                <c:pt idx="17">
                  <c:v>-60632.746492543003</c:v>
                </c:pt>
                <c:pt idx="18">
                  <c:v>-63691.821123022499</c:v>
                </c:pt>
                <c:pt idx="19">
                  <c:v>-66750.895651106301</c:v>
                </c:pt>
                <c:pt idx="20">
                  <c:v>-69809.970280417998</c:v>
                </c:pt>
                <c:pt idx="21">
                  <c:v>-72869.044808501902</c:v>
                </c:pt>
                <c:pt idx="22">
                  <c:v>-75928.119362738595</c:v>
                </c:pt>
                <c:pt idx="23">
                  <c:v>-78987.193890822396</c:v>
                </c:pt>
                <c:pt idx="24">
                  <c:v>-82046.268520134094</c:v>
                </c:pt>
                <c:pt idx="25">
                  <c:v>-85105.343048217997</c:v>
                </c:pt>
                <c:pt idx="26">
                  <c:v>-88164.417602454705</c:v>
                </c:pt>
                <c:pt idx="27">
                  <c:v>-91223.4922067812</c:v>
                </c:pt>
                <c:pt idx="28">
                  <c:v>-94282.566836092999</c:v>
                </c:pt>
                <c:pt idx="29">
                  <c:v>-97341.641364176801</c:v>
                </c:pt>
                <c:pt idx="30">
                  <c:v>-100400.715918414</c:v>
                </c:pt>
                <c:pt idx="31">
                  <c:v>-103459.79044649701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A-4091-AEF4-73DD6BB37B62}"/>
            </c:ext>
          </c:extLst>
        </c:ser>
        <c:ser>
          <c:idx val="3"/>
          <c:order val="3"/>
          <c:tx>
            <c:strRef>
              <c:f>LULUCF_Categories!$F$12</c:f>
              <c:strCache>
                <c:ptCount val="1"/>
                <c:pt idx="0">
                  <c:v>3.B.5 - 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LULUCF_Categories!$F$13:$F$44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40.260308548899999</c:v>
                </c:pt>
                <c:pt idx="7">
                  <c:v>100.80111014013301</c:v>
                </c:pt>
                <c:pt idx="8">
                  <c:v>151.20157468936699</c:v>
                </c:pt>
                <c:pt idx="9">
                  <c:v>201.60220937193299</c:v>
                </c:pt>
                <c:pt idx="10">
                  <c:v>252.00275669616701</c:v>
                </c:pt>
                <c:pt idx="11">
                  <c:v>302.4032212454</c:v>
                </c:pt>
                <c:pt idx="12">
                  <c:v>352.80385592796699</c:v>
                </c:pt>
                <c:pt idx="13">
                  <c:v>403.20432047719999</c:v>
                </c:pt>
                <c:pt idx="14">
                  <c:v>453.60479593476703</c:v>
                </c:pt>
                <c:pt idx="15">
                  <c:v>504.00543061733299</c:v>
                </c:pt>
                <c:pt idx="16">
                  <c:v>554.40589516656701</c:v>
                </c:pt>
                <c:pt idx="17">
                  <c:v>604.80654075746702</c:v>
                </c:pt>
                <c:pt idx="18">
                  <c:v>655.20689934003303</c:v>
                </c:pt>
                <c:pt idx="19">
                  <c:v>705.60743575593301</c:v>
                </c:pt>
                <c:pt idx="20">
                  <c:v>756.00808134683302</c:v>
                </c:pt>
                <c:pt idx="21">
                  <c:v>806.40854589606704</c:v>
                </c:pt>
                <c:pt idx="22">
                  <c:v>856.809180578633</c:v>
                </c:pt>
                <c:pt idx="23">
                  <c:v>907.20965603620004</c:v>
                </c:pt>
                <c:pt idx="24">
                  <c:v>957.61012058543304</c:v>
                </c:pt>
                <c:pt idx="25">
                  <c:v>1008.010755268</c:v>
                </c:pt>
                <c:pt idx="26">
                  <c:v>1058.4112198172299</c:v>
                </c:pt>
                <c:pt idx="27">
                  <c:v>1108.81176714147</c:v>
                </c:pt>
                <c:pt idx="28">
                  <c:v>1159.2124018240299</c:v>
                </c:pt>
                <c:pt idx="29">
                  <c:v>1209.61286637327</c:v>
                </c:pt>
                <c:pt idx="30">
                  <c:v>1260.01351196417</c:v>
                </c:pt>
                <c:pt idx="31">
                  <c:v>1310.4139765134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DA-4091-AEF4-73DD6BB37B62}"/>
            </c:ext>
          </c:extLst>
        </c:ser>
        <c:ser>
          <c:idx val="4"/>
          <c:order val="4"/>
          <c:tx>
            <c:strRef>
              <c:f>LULUCF_Categories!$G$12</c:f>
              <c:strCache>
                <c:ptCount val="1"/>
                <c:pt idx="0">
                  <c:v>3.B.6 - Other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LULUCF_Categories!$G$13:$G$44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533.33754716055</c:v>
                </c:pt>
                <c:pt idx="7">
                  <c:v>238.78089147036701</c:v>
                </c:pt>
                <c:pt idx="8">
                  <c:v>356.58341754685802</c:v>
                </c:pt>
                <c:pt idx="9">
                  <c:v>474.386728236208</c:v>
                </c:pt>
                <c:pt idx="10">
                  <c:v>604.88977185055796</c:v>
                </c:pt>
                <c:pt idx="11">
                  <c:v>630.32872611490802</c:v>
                </c:pt>
                <c:pt idx="12">
                  <c:v>649.41760950806702</c:v>
                </c:pt>
                <c:pt idx="13">
                  <c:v>671.68154760574998</c:v>
                </c:pt>
                <c:pt idx="14">
                  <c:v>693.94554987009997</c:v>
                </c:pt>
                <c:pt idx="15">
                  <c:v>716.20948796778305</c:v>
                </c:pt>
                <c:pt idx="16">
                  <c:v>738.473387527608</c:v>
                </c:pt>
                <c:pt idx="17">
                  <c:v>760.73738979195798</c:v>
                </c:pt>
                <c:pt idx="18">
                  <c:v>783.00126372297495</c:v>
                </c:pt>
                <c:pt idx="19">
                  <c:v>805.26520182065804</c:v>
                </c:pt>
                <c:pt idx="20">
                  <c:v>827.52920408500802</c:v>
                </c:pt>
                <c:pt idx="21">
                  <c:v>849.79310364483297</c:v>
                </c:pt>
                <c:pt idx="22">
                  <c:v>872.05704174251696</c:v>
                </c:pt>
                <c:pt idx="23">
                  <c:v>894.32104400686706</c:v>
                </c:pt>
                <c:pt idx="24">
                  <c:v>916.58498210455002</c:v>
                </c:pt>
                <c:pt idx="25">
                  <c:v>938.84881749770796</c:v>
                </c:pt>
                <c:pt idx="26">
                  <c:v>718.423624387058</c:v>
                </c:pt>
                <c:pt idx="27">
                  <c:v>752.63429600140796</c:v>
                </c:pt>
                <c:pt idx="28">
                  <c:v>786.84504269075796</c:v>
                </c:pt>
                <c:pt idx="29">
                  <c:v>821.05554743391701</c:v>
                </c:pt>
                <c:pt idx="30">
                  <c:v>855.26635828993301</c:v>
                </c:pt>
                <c:pt idx="31">
                  <c:v>889.47690157094996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DA-4091-AEF4-73DD6BB37B62}"/>
            </c:ext>
          </c:extLst>
        </c:ser>
        <c:ser>
          <c:idx val="5"/>
          <c:order val="5"/>
          <c:tx>
            <c:strRef>
              <c:f>LULUCF_Categories!$H$12</c:f>
              <c:strCache>
                <c:ptCount val="1"/>
                <c:pt idx="0">
                  <c:v>3.C.1 - Burning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LULUCF_Categories!$H$13:$H$44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38.408761320882199</c:v>
                </c:pt>
                <c:pt idx="13">
                  <c:v>50.034230727265999</c:v>
                </c:pt>
                <c:pt idx="14">
                  <c:v>42.3260400009096</c:v>
                </c:pt>
                <c:pt idx="15">
                  <c:v>46.135267454679607</c:v>
                </c:pt>
                <c:pt idx="16">
                  <c:v>30.077892467684201</c:v>
                </c:pt>
                <c:pt idx="17">
                  <c:v>48.793027005339603</c:v>
                </c:pt>
                <c:pt idx="18">
                  <c:v>40.775777480703994</c:v>
                </c:pt>
                <c:pt idx="19">
                  <c:v>42.244641836195797</c:v>
                </c:pt>
                <c:pt idx="20">
                  <c:v>45.184287720777398</c:v>
                </c:pt>
                <c:pt idx="21">
                  <c:v>33.355784105698397</c:v>
                </c:pt>
                <c:pt idx="22">
                  <c:v>39.047277276697201</c:v>
                </c:pt>
                <c:pt idx="23">
                  <c:v>32.476572817625801</c:v>
                </c:pt>
                <c:pt idx="24">
                  <c:v>29.472906886135601</c:v>
                </c:pt>
                <c:pt idx="25">
                  <c:v>34.837652459214603</c:v>
                </c:pt>
                <c:pt idx="26">
                  <c:v>36.685716053568399</c:v>
                </c:pt>
                <c:pt idx="27">
                  <c:v>2.6659847627702002</c:v>
                </c:pt>
                <c:pt idx="28">
                  <c:v>27.138196440849402</c:v>
                </c:pt>
                <c:pt idx="29">
                  <c:v>26.630118254960401</c:v>
                </c:pt>
                <c:pt idx="30">
                  <c:v>26.300864271314399</c:v>
                </c:pt>
                <c:pt idx="31">
                  <c:v>25.631195152034401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DA-4091-AEF4-73DD6BB37B62}"/>
            </c:ext>
          </c:extLst>
        </c:ser>
        <c:ser>
          <c:idx val="6"/>
          <c:order val="6"/>
          <c:tx>
            <c:strRef>
              <c:f>LULUCF_Categories!$I$12</c:f>
              <c:strCache>
                <c:ptCount val="1"/>
                <c:pt idx="0">
                  <c:v>3.D.1 - Harvested Wood Products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LULUCF_Categories!$B$13:$B$44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LULUCF_Categories!$I$13:$I$44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-22.666478252071101</c:v>
                </c:pt>
                <c:pt idx="5">
                  <c:v>-18.544070420543001</c:v>
                </c:pt>
                <c:pt idx="6">
                  <c:v>-15.5761473330749</c:v>
                </c:pt>
                <c:pt idx="7">
                  <c:v>-13.4934461243902</c:v>
                </c:pt>
                <c:pt idx="8">
                  <c:v>-11.875243133097699</c:v>
                </c:pt>
                <c:pt idx="9">
                  <c:v>-10.8518011086817</c:v>
                </c:pt>
                <c:pt idx="10">
                  <c:v>-10.281116657774</c:v>
                </c:pt>
                <c:pt idx="11">
                  <c:v>-9.5137466065643803</c:v>
                </c:pt>
                <c:pt idx="12">
                  <c:v>-8.8561632601922593</c:v>
                </c:pt>
                <c:pt idx="13">
                  <c:v>-8.7275857664099004</c:v>
                </c:pt>
                <c:pt idx="14">
                  <c:v>-8.6168324737154798</c:v>
                </c:pt>
                <c:pt idx="15">
                  <c:v>-8.6379901951695501</c:v>
                </c:pt>
                <c:pt idx="16">
                  <c:v>-8.4783889374812098</c:v>
                </c:pt>
                <c:pt idx="17">
                  <c:v>-9.14617283227199</c:v>
                </c:pt>
                <c:pt idx="18">
                  <c:v>-7.9495320874375501</c:v>
                </c:pt>
                <c:pt idx="19">
                  <c:v>-43.501023910896002</c:v>
                </c:pt>
                <c:pt idx="20">
                  <c:v>-32.250124797719799</c:v>
                </c:pt>
                <c:pt idx="21">
                  <c:v>-24.8855277543589</c:v>
                </c:pt>
                <c:pt idx="22">
                  <c:v>-28.768367875905799</c:v>
                </c:pt>
                <c:pt idx="23">
                  <c:v>-36.026566871874799</c:v>
                </c:pt>
                <c:pt idx="24">
                  <c:v>-32.980703398981902</c:v>
                </c:pt>
                <c:pt idx="25">
                  <c:v>-52.998649588698797</c:v>
                </c:pt>
                <c:pt idx="26">
                  <c:v>-49.703909057258002</c:v>
                </c:pt>
                <c:pt idx="27">
                  <c:v>-51.5078162061182</c:v>
                </c:pt>
                <c:pt idx="28">
                  <c:v>-58.449968663640902</c:v>
                </c:pt>
                <c:pt idx="29">
                  <c:v>-76.492624701582798</c:v>
                </c:pt>
                <c:pt idx="30">
                  <c:v>-99.894938055545893</c:v>
                </c:pt>
                <c:pt idx="31">
                  <c:v>-161.27911361477501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A-4091-AEF4-73DD6BB37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791349816"/>
        <c:axId val="791350896"/>
      </c:barChart>
      <c:catAx>
        <c:axId val="79134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Yu Gothic" panose="020B0400000000000000" pitchFamily="34" charset="-128"/>
                <a:cs typeface="Arial" panose="020B0604020202020204" pitchFamily="34" charset="0"/>
              </a:defRPr>
            </a:pPr>
            <a:endParaRPr lang="en-US"/>
          </a:p>
        </c:txPr>
        <c:crossAx val="791350896"/>
        <c:crosses val="autoZero"/>
        <c:auto val="1"/>
        <c:lblAlgn val="ctr"/>
        <c:lblOffset val="100"/>
        <c:noMultiLvlLbl val="0"/>
      </c:catAx>
      <c:valAx>
        <c:axId val="79135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Yu Gothic" panose="020B0400000000000000" pitchFamily="34" charset="-128"/>
                    <a:cs typeface="Arial" panose="020B0604020202020204" pitchFamily="34" charset="0"/>
                  </a:defRPr>
                </a:pPr>
                <a:r>
                  <a:rPr lang="en-GB"/>
                  <a:t>Carbon Dioxide Emissions Equivalents (Gg CO2e)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Yu Gothic" panose="020B0400000000000000" pitchFamily="34" charset="-128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Yu Gothic" panose="020B0400000000000000" pitchFamily="34" charset="-128"/>
                <a:cs typeface="Arial" panose="020B0604020202020204" pitchFamily="34" charset="0"/>
              </a:defRPr>
            </a:pPr>
            <a:endParaRPr lang="en-US"/>
          </a:p>
        </c:txPr>
        <c:crossAx val="79134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Yu Gothic" panose="020B0400000000000000" pitchFamily="34" charset="-128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Arial" panose="020B0604020202020204" pitchFamily="34" charset="0"/>
          <a:ea typeface="Yu Gothic" panose="020B0400000000000000" pitchFamily="34" charset="-128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Grassland!$B$2</c:f>
              <c:strCache>
                <c:ptCount val="1"/>
                <c:pt idx="0">
                  <c:v>Grassland Remaining Grassland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Grassland!$B$3:$B$34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-23577.302570342399</c:v>
                </c:pt>
                <c:pt idx="7">
                  <c:v>-23230.753443532802</c:v>
                </c:pt>
                <c:pt idx="8">
                  <c:v>-22884.2043167232</c:v>
                </c:pt>
                <c:pt idx="9">
                  <c:v>-22537.655189913599</c:v>
                </c:pt>
                <c:pt idx="10">
                  <c:v>-22191.106063104002</c:v>
                </c:pt>
                <c:pt idx="11">
                  <c:v>-21844.556936294401</c:v>
                </c:pt>
                <c:pt idx="12">
                  <c:v>-21498.0078094848</c:v>
                </c:pt>
                <c:pt idx="13">
                  <c:v>-21151.458682675198</c:v>
                </c:pt>
                <c:pt idx="14">
                  <c:v>-20804.909555865601</c:v>
                </c:pt>
                <c:pt idx="15">
                  <c:v>-20458.360429056</c:v>
                </c:pt>
                <c:pt idx="16">
                  <c:v>-20111.811302246399</c:v>
                </c:pt>
                <c:pt idx="17">
                  <c:v>-19765.262175436801</c:v>
                </c:pt>
                <c:pt idx="18">
                  <c:v>-19418.7130486272</c:v>
                </c:pt>
                <c:pt idx="19">
                  <c:v>-19072.163921817599</c:v>
                </c:pt>
                <c:pt idx="20">
                  <c:v>-18725.614795008001</c:v>
                </c:pt>
                <c:pt idx="21">
                  <c:v>-18379.0656681984</c:v>
                </c:pt>
                <c:pt idx="22">
                  <c:v>-18032.516541388799</c:v>
                </c:pt>
                <c:pt idx="23">
                  <c:v>-17685.967414579201</c:v>
                </c:pt>
                <c:pt idx="24">
                  <c:v>-17339.4182877696</c:v>
                </c:pt>
                <c:pt idx="25">
                  <c:v>-16992.869160959999</c:v>
                </c:pt>
                <c:pt idx="26">
                  <c:v>-16646.320034150402</c:v>
                </c:pt>
                <c:pt idx="27">
                  <c:v>-16299.7709073408</c:v>
                </c:pt>
                <c:pt idx="28">
                  <c:v>-15953.221780531199</c:v>
                </c:pt>
                <c:pt idx="29">
                  <c:v>-15606.6726537216</c:v>
                </c:pt>
                <c:pt idx="30">
                  <c:v>-15260.123526912001</c:v>
                </c:pt>
                <c:pt idx="31">
                  <c:v>-14913.5744001024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E-4BCE-9AEE-F26C0433CDB3}"/>
            </c:ext>
          </c:extLst>
        </c:ser>
        <c:ser>
          <c:idx val="1"/>
          <c:order val="1"/>
          <c:tx>
            <c:strRef>
              <c:f>Grassland!$C$2</c:f>
              <c:strCache>
                <c:ptCount val="1"/>
                <c:pt idx="0">
                  <c:v>Forest Land converted to Grassland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-1529.8845714753299</c:v>
                </c:pt>
                <c:pt idx="7">
                  <c:v>-3064.2291717707999</c:v>
                </c:pt>
                <c:pt idx="8">
                  <c:v>-4596.3438082701296</c:v>
                </c:pt>
                <c:pt idx="9">
                  <c:v>-6128.4583435415998</c:v>
                </c:pt>
                <c:pt idx="10">
                  <c:v>-7660.5729800409299</c:v>
                </c:pt>
                <c:pt idx="11">
                  <c:v>-9192.6875153124001</c:v>
                </c:pt>
                <c:pt idx="12">
                  <c:v>-10724.8021518117</c:v>
                </c:pt>
                <c:pt idx="13">
                  <c:v>-12256.9166870832</c:v>
                </c:pt>
                <c:pt idx="14">
                  <c:v>-13789.0313235825</c:v>
                </c:pt>
                <c:pt idx="15">
                  <c:v>-15321.145858854001</c:v>
                </c:pt>
                <c:pt idx="16">
                  <c:v>-16853.260495353301</c:v>
                </c:pt>
                <c:pt idx="17">
                  <c:v>-18385.3750306248</c:v>
                </c:pt>
                <c:pt idx="18">
                  <c:v>-19917.4896671241</c:v>
                </c:pt>
                <c:pt idx="19">
                  <c:v>-21449.6042023956</c:v>
                </c:pt>
                <c:pt idx="20">
                  <c:v>-22981.7188388949</c:v>
                </c:pt>
                <c:pt idx="21">
                  <c:v>-24513.833374166399</c:v>
                </c:pt>
                <c:pt idx="22">
                  <c:v>-26045.948010665699</c:v>
                </c:pt>
                <c:pt idx="23">
                  <c:v>-27578.062545937199</c:v>
                </c:pt>
                <c:pt idx="24">
                  <c:v>-29110.177182436499</c:v>
                </c:pt>
                <c:pt idx="25">
                  <c:v>-30642.291717708002</c:v>
                </c:pt>
                <c:pt idx="26">
                  <c:v>-32174.406354207302</c:v>
                </c:pt>
                <c:pt idx="27">
                  <c:v>-33706.520889478801</c:v>
                </c:pt>
                <c:pt idx="28">
                  <c:v>-35238.635525978098</c:v>
                </c:pt>
                <c:pt idx="29">
                  <c:v>-36770.750061249601</c:v>
                </c:pt>
                <c:pt idx="30">
                  <c:v>-38302.864697748897</c:v>
                </c:pt>
                <c:pt idx="31">
                  <c:v>-39834.9792330204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E-4BCE-9AEE-F26C0433CDB3}"/>
            </c:ext>
          </c:extLst>
        </c:ser>
        <c:ser>
          <c:idx val="2"/>
          <c:order val="2"/>
          <c:tx>
            <c:strRef>
              <c:f>Grassland!$D$2</c:f>
              <c:strCache>
                <c:ptCount val="1"/>
                <c:pt idx="0">
                  <c:v>Cropland converted to Grassland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Grassland!$D$3:$D$34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-1835.8724349143699</c:v>
                </c:pt>
                <c:pt idx="7">
                  <c:v>-3675.76761463615</c:v>
                </c:pt>
                <c:pt idx="8">
                  <c:v>-5507.6172541291899</c:v>
                </c:pt>
                <c:pt idx="9">
                  <c:v>-7343.4896890435602</c:v>
                </c:pt>
                <c:pt idx="10">
                  <c:v>-9179.3621495867501</c:v>
                </c:pt>
                <c:pt idx="11">
                  <c:v>-11015.2345845011</c:v>
                </c:pt>
                <c:pt idx="12">
                  <c:v>-12851.1070194155</c:v>
                </c:pt>
                <c:pt idx="13">
                  <c:v>-14686.979403715901</c:v>
                </c:pt>
                <c:pt idx="14">
                  <c:v>-16522.8518386303</c:v>
                </c:pt>
                <c:pt idx="15">
                  <c:v>-18358.7242735447</c:v>
                </c:pt>
                <c:pt idx="16">
                  <c:v>-20194.596657845101</c:v>
                </c:pt>
                <c:pt idx="17">
                  <c:v>-22030.4690927595</c:v>
                </c:pt>
                <c:pt idx="18">
                  <c:v>-23866.3415533027</c:v>
                </c:pt>
                <c:pt idx="19">
                  <c:v>-25702.2139882171</c:v>
                </c:pt>
                <c:pt idx="20">
                  <c:v>-27538.086423131401</c:v>
                </c:pt>
                <c:pt idx="21">
                  <c:v>-29373.9588074319</c:v>
                </c:pt>
                <c:pt idx="22">
                  <c:v>-31209.831242346201</c:v>
                </c:pt>
                <c:pt idx="23">
                  <c:v>-33045.703677260601</c:v>
                </c:pt>
                <c:pt idx="24">
                  <c:v>-34881.5760615611</c:v>
                </c:pt>
                <c:pt idx="25">
                  <c:v>-36717.448496475503</c:v>
                </c:pt>
                <c:pt idx="26">
                  <c:v>-38553.320931389797</c:v>
                </c:pt>
                <c:pt idx="27">
                  <c:v>-40389.193391932997</c:v>
                </c:pt>
                <c:pt idx="28">
                  <c:v>-42225.0658268474</c:v>
                </c:pt>
                <c:pt idx="29">
                  <c:v>-44060.938261761803</c:v>
                </c:pt>
                <c:pt idx="30">
                  <c:v>-45896.8106460622</c:v>
                </c:pt>
                <c:pt idx="31">
                  <c:v>-47732.683080976603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5E-4BCE-9AEE-F26C0433CDB3}"/>
            </c:ext>
          </c:extLst>
        </c:ser>
        <c:ser>
          <c:idx val="3"/>
          <c:order val="3"/>
          <c:tx>
            <c:strRef>
              <c:f>Grassland!$E$2</c:f>
              <c:strCache>
                <c:ptCount val="1"/>
                <c:pt idx="0">
                  <c:v>Settlements converted to Grassland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Grassland!$E$3:$E$34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-5.9304851826</c:v>
                </c:pt>
                <c:pt idx="7">
                  <c:v>-11.861020979133301</c:v>
                </c:pt>
                <c:pt idx="8">
                  <c:v>-17.791506161733299</c:v>
                </c:pt>
                <c:pt idx="9">
                  <c:v>-23.721991344333301</c:v>
                </c:pt>
                <c:pt idx="10">
                  <c:v>-29.652527140866699</c:v>
                </c:pt>
                <c:pt idx="11">
                  <c:v>-35.583012323466697</c:v>
                </c:pt>
                <c:pt idx="12">
                  <c:v>-41.513497506066699</c:v>
                </c:pt>
                <c:pt idx="13">
                  <c:v>-47.444033302599998</c:v>
                </c:pt>
                <c:pt idx="14">
                  <c:v>-53.374518485199999</c:v>
                </c:pt>
                <c:pt idx="15">
                  <c:v>-59.305003667800001</c:v>
                </c:pt>
                <c:pt idx="16">
                  <c:v>-65.2355394643333</c:v>
                </c:pt>
                <c:pt idx="17">
                  <c:v>-71.166024646933295</c:v>
                </c:pt>
                <c:pt idx="18">
                  <c:v>-77.0965604434667</c:v>
                </c:pt>
                <c:pt idx="19">
                  <c:v>-83.027045626066695</c:v>
                </c:pt>
                <c:pt idx="20">
                  <c:v>-88.957530808666704</c:v>
                </c:pt>
                <c:pt idx="21">
                  <c:v>-94.888066605199995</c:v>
                </c:pt>
                <c:pt idx="22">
                  <c:v>-100.8185517878</c:v>
                </c:pt>
                <c:pt idx="23">
                  <c:v>-106.7490369704</c:v>
                </c:pt>
                <c:pt idx="24">
                  <c:v>-112.67957276693301</c:v>
                </c:pt>
                <c:pt idx="25">
                  <c:v>-118.610057949533</c:v>
                </c:pt>
                <c:pt idx="26">
                  <c:v>-124.540543132133</c:v>
                </c:pt>
                <c:pt idx="27">
                  <c:v>-130.471078928667</c:v>
                </c:pt>
                <c:pt idx="28">
                  <c:v>-136.40156411126699</c:v>
                </c:pt>
                <c:pt idx="29">
                  <c:v>-142.33204929386699</c:v>
                </c:pt>
                <c:pt idx="30">
                  <c:v>-148.26258509039999</c:v>
                </c:pt>
                <c:pt idx="31">
                  <c:v>-154.19307027299999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5E-4BCE-9AEE-F26C0433CDB3}"/>
            </c:ext>
          </c:extLst>
        </c:ser>
        <c:ser>
          <c:idx val="4"/>
          <c:order val="4"/>
          <c:tx>
            <c:strRef>
              <c:f>Grassland!$F$2</c:f>
              <c:strCache>
                <c:ptCount val="1"/>
                <c:pt idx="0">
                  <c:v>Other Land converted to Grassland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Grassland!$A$3:$A$34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Grassland!$F$3:$F$34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-31.706199524999999</c:v>
                </c:pt>
                <c:pt idx="7">
                  <c:v>-63.412323975</c:v>
                </c:pt>
                <c:pt idx="8">
                  <c:v>-95.118523499999995</c:v>
                </c:pt>
                <c:pt idx="9">
                  <c:v>-126.824723025</c:v>
                </c:pt>
                <c:pt idx="10">
                  <c:v>-158.53092255000001</c:v>
                </c:pt>
                <c:pt idx="11">
                  <c:v>-190.23704699999999</c:v>
                </c:pt>
                <c:pt idx="12">
                  <c:v>-221.94324652500001</c:v>
                </c:pt>
                <c:pt idx="13">
                  <c:v>-253.64944604999999</c:v>
                </c:pt>
                <c:pt idx="14">
                  <c:v>-285.35564557499998</c:v>
                </c:pt>
                <c:pt idx="15">
                  <c:v>-317.06177002499999</c:v>
                </c:pt>
                <c:pt idx="16">
                  <c:v>-348.76796954999998</c:v>
                </c:pt>
                <c:pt idx="17">
                  <c:v>-380.47416907500002</c:v>
                </c:pt>
                <c:pt idx="18">
                  <c:v>-412.18029352500002</c:v>
                </c:pt>
                <c:pt idx="19">
                  <c:v>-443.88649305000001</c:v>
                </c:pt>
                <c:pt idx="20">
                  <c:v>-475.592692575</c:v>
                </c:pt>
                <c:pt idx="21">
                  <c:v>-507.29889209999999</c:v>
                </c:pt>
                <c:pt idx="22">
                  <c:v>-539.00501655000005</c:v>
                </c:pt>
                <c:pt idx="23">
                  <c:v>-570.71121607500004</c:v>
                </c:pt>
                <c:pt idx="24">
                  <c:v>-602.41741560000003</c:v>
                </c:pt>
                <c:pt idx="25">
                  <c:v>-634.12361512500001</c:v>
                </c:pt>
                <c:pt idx="26">
                  <c:v>-665.82973957499996</c:v>
                </c:pt>
                <c:pt idx="27">
                  <c:v>-697.53593909999995</c:v>
                </c:pt>
                <c:pt idx="28">
                  <c:v>-729.24213862500005</c:v>
                </c:pt>
                <c:pt idx="29">
                  <c:v>-760.94833815000004</c:v>
                </c:pt>
                <c:pt idx="30">
                  <c:v>-792.65446259999999</c:v>
                </c:pt>
                <c:pt idx="31">
                  <c:v>-824.36066212499998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5E-4BCE-9AEE-F26C0433C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175600"/>
        <c:axId val="1529174160"/>
      </c:barChart>
      <c:catAx>
        <c:axId val="152917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74160"/>
        <c:crosses val="autoZero"/>
        <c:auto val="1"/>
        <c:lblAlgn val="ctr"/>
        <c:lblOffset val="100"/>
        <c:noMultiLvlLbl val="0"/>
      </c:catAx>
      <c:valAx>
        <c:axId val="15291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7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Cropland!$B$3</c:f>
              <c:strCache>
                <c:ptCount val="1"/>
                <c:pt idx="0">
                  <c:v>Cropland Remaining Cropland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Cropland!$B$4:$B$35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24975.4733486849</c:v>
                </c:pt>
                <c:pt idx="7">
                  <c:v>23810.534388918601</c:v>
                </c:pt>
                <c:pt idx="8">
                  <c:v>22645.735404483599</c:v>
                </c:pt>
                <c:pt idx="9">
                  <c:v>21480.936335568502</c:v>
                </c:pt>
                <c:pt idx="10">
                  <c:v>20310.681806659701</c:v>
                </c:pt>
                <c:pt idx="11">
                  <c:v>19151.3382902472</c:v>
                </c:pt>
                <c:pt idx="12">
                  <c:v>17986.5392801833</c:v>
                </c:pt>
                <c:pt idx="13">
                  <c:v>16821.740211268199</c:v>
                </c:pt>
                <c:pt idx="14">
                  <c:v>15656.9412524619</c:v>
                </c:pt>
                <c:pt idx="15">
                  <c:v>14492.1421659469</c:v>
                </c:pt>
                <c:pt idx="16">
                  <c:v>13327.3431815118</c:v>
                </c:pt>
                <c:pt idx="17">
                  <c:v>12162.544222705499</c:v>
                </c:pt>
                <c:pt idx="18">
                  <c:v>10995.744244990399</c:v>
                </c:pt>
                <c:pt idx="19">
                  <c:v>9830.9451584753606</c:v>
                </c:pt>
                <c:pt idx="20">
                  <c:v>8668.1471084691002</c:v>
                </c:pt>
                <c:pt idx="21">
                  <c:v>7503.3481240340298</c:v>
                </c:pt>
                <c:pt idx="22">
                  <c:v>6338.5490375189502</c:v>
                </c:pt>
                <c:pt idx="23">
                  <c:v>5173.7500787126901</c:v>
                </c:pt>
                <c:pt idx="24">
                  <c:v>4008.9510097976099</c:v>
                </c:pt>
                <c:pt idx="25">
                  <c:v>2844.15199973373</c:v>
                </c:pt>
                <c:pt idx="26">
                  <c:v>1679.35291321866</c:v>
                </c:pt>
                <c:pt idx="27">
                  <c:v>514.55395441238898</c:v>
                </c:pt>
                <c:pt idx="28">
                  <c:v>-1774.2412250733501</c:v>
                </c:pt>
                <c:pt idx="29">
                  <c:v>-1815.0440989377601</c:v>
                </c:pt>
                <c:pt idx="30">
                  <c:v>-2979.8430753440298</c:v>
                </c:pt>
                <c:pt idx="31">
                  <c:v>-4144.6421442591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A-43F9-99B3-6EABDA1A63D6}"/>
            </c:ext>
          </c:extLst>
        </c:ser>
        <c:ser>
          <c:idx val="1"/>
          <c:order val="1"/>
          <c:tx>
            <c:strRef>
              <c:f>Cropland!$C$3</c:f>
              <c:strCache>
                <c:ptCount val="1"/>
                <c:pt idx="0">
                  <c:v>Forest Land converted to Cropland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Cropland!$C$4:$C$35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230.42443822924201</c:v>
                </c:pt>
                <c:pt idx="7">
                  <c:v>459.50758749848302</c:v>
                </c:pt>
                <c:pt idx="8">
                  <c:v>689.26133900772504</c:v>
                </c:pt>
                <c:pt idx="9">
                  <c:v>919.01509051696701</c:v>
                </c:pt>
                <c:pt idx="10">
                  <c:v>1148.7689265062099</c:v>
                </c:pt>
                <c:pt idx="11">
                  <c:v>1378.5226780154501</c:v>
                </c:pt>
                <c:pt idx="12">
                  <c:v>1608.27642952469</c:v>
                </c:pt>
                <c:pt idx="13">
                  <c:v>1838.0302655139301</c:v>
                </c:pt>
                <c:pt idx="14">
                  <c:v>2067.7840170231698</c:v>
                </c:pt>
                <c:pt idx="15">
                  <c:v>2297.5377685324202</c:v>
                </c:pt>
                <c:pt idx="16">
                  <c:v>2527.2916045216598</c:v>
                </c:pt>
                <c:pt idx="17">
                  <c:v>2757.0453560309002</c:v>
                </c:pt>
                <c:pt idx="18">
                  <c:v>2986.7990230601399</c:v>
                </c:pt>
                <c:pt idx="19">
                  <c:v>3216.5528334205701</c:v>
                </c:pt>
                <c:pt idx="20">
                  <c:v>3446.30658492982</c:v>
                </c:pt>
                <c:pt idx="21">
                  <c:v>3676.0604209190601</c:v>
                </c:pt>
                <c:pt idx="22">
                  <c:v>3905.8141724283</c:v>
                </c:pt>
                <c:pt idx="23">
                  <c:v>4135.5679239375404</c:v>
                </c:pt>
                <c:pt idx="24">
                  <c:v>4365.32175992678</c:v>
                </c:pt>
                <c:pt idx="25">
                  <c:v>4595.07551143602</c:v>
                </c:pt>
                <c:pt idx="26">
                  <c:v>4824.8470882252705</c:v>
                </c:pt>
                <c:pt idx="27">
                  <c:v>5054.60176901451</c:v>
                </c:pt>
                <c:pt idx="28">
                  <c:v>5284.3563653237497</c:v>
                </c:pt>
                <c:pt idx="29">
                  <c:v>5514.1109616329904</c:v>
                </c:pt>
                <c:pt idx="30">
                  <c:v>5743.8656424222299</c:v>
                </c:pt>
                <c:pt idx="31">
                  <c:v>5973.6202387314697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AA-43F9-99B3-6EABDA1A63D6}"/>
            </c:ext>
          </c:extLst>
        </c:ser>
        <c:ser>
          <c:idx val="2"/>
          <c:order val="2"/>
          <c:tx>
            <c:strRef>
              <c:f>Cropland!$D$3</c:f>
              <c:strCache>
                <c:ptCount val="1"/>
                <c:pt idx="0">
                  <c:v>Grassland converted to Cropland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Cropland!$D$4:$D$35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9.0070634204833198</c:v>
                </c:pt>
                <c:pt idx="7">
                  <c:v>81.796346295491603</c:v>
                </c:pt>
                <c:pt idx="8">
                  <c:v>122.69450092597501</c:v>
                </c:pt>
                <c:pt idx="9">
                  <c:v>163.592655556458</c:v>
                </c:pt>
                <c:pt idx="10">
                  <c:v>204.58237037480001</c:v>
                </c:pt>
                <c:pt idx="11">
                  <c:v>245.38900185195001</c:v>
                </c:pt>
                <c:pt idx="12">
                  <c:v>286.28715648243298</c:v>
                </c:pt>
                <c:pt idx="13">
                  <c:v>327.185274575775</c:v>
                </c:pt>
                <c:pt idx="14">
                  <c:v>368.08350277792499</c:v>
                </c:pt>
                <c:pt idx="15">
                  <c:v>408.98165740840801</c:v>
                </c:pt>
                <c:pt idx="16">
                  <c:v>449.87977550174998</c:v>
                </c:pt>
                <c:pt idx="17">
                  <c:v>490.77800370390003</c:v>
                </c:pt>
                <c:pt idx="18">
                  <c:v>531.67612179724097</c:v>
                </c:pt>
                <c:pt idx="19">
                  <c:v>572.57427642772495</c:v>
                </c:pt>
                <c:pt idx="20">
                  <c:v>613.47250462987495</c:v>
                </c:pt>
                <c:pt idx="21">
                  <c:v>654.370622723216</c:v>
                </c:pt>
                <c:pt idx="22">
                  <c:v>695.26877735369999</c:v>
                </c:pt>
                <c:pt idx="23">
                  <c:v>736.16700555584998</c:v>
                </c:pt>
                <c:pt idx="24">
                  <c:v>777.06512364919104</c:v>
                </c:pt>
                <c:pt idx="25">
                  <c:v>817.96327827967502</c:v>
                </c:pt>
                <c:pt idx="26">
                  <c:v>858.86143291015799</c:v>
                </c:pt>
                <c:pt idx="27">
                  <c:v>899.75962457516596</c:v>
                </c:pt>
                <c:pt idx="28">
                  <c:v>940.65777920564994</c:v>
                </c:pt>
                <c:pt idx="29">
                  <c:v>981.55593383613302</c:v>
                </c:pt>
                <c:pt idx="30">
                  <c:v>1022.45412550114</c:v>
                </c:pt>
                <c:pt idx="31">
                  <c:v>1063.3522801316201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AA-43F9-99B3-6EABDA1A63D6}"/>
            </c:ext>
          </c:extLst>
        </c:ser>
        <c:ser>
          <c:idx val="3"/>
          <c:order val="3"/>
          <c:tx>
            <c:strRef>
              <c:f>Cropland!$E$3</c:f>
              <c:strCache>
                <c:ptCount val="1"/>
                <c:pt idx="0">
                  <c:v>Settlements converted to Cropland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Cropland!$E$4:$E$35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2.670342426675</c:v>
                </c:pt>
                <c:pt idx="7">
                  <c:v>5.2614682421583296</c:v>
                </c:pt>
                <c:pt idx="8">
                  <c:v>7.89218954883333</c:v>
                </c:pt>
                <c:pt idx="9">
                  <c:v>10.5229108555083</c:v>
                </c:pt>
                <c:pt idx="10">
                  <c:v>13.1536577909917</c:v>
                </c:pt>
                <c:pt idx="11">
                  <c:v>15.784379097666701</c:v>
                </c:pt>
                <c:pt idx="12">
                  <c:v>18.4151004043417</c:v>
                </c:pt>
                <c:pt idx="13">
                  <c:v>21.045847339824999</c:v>
                </c:pt>
                <c:pt idx="14">
                  <c:v>23.676568646500002</c:v>
                </c:pt>
                <c:pt idx="15">
                  <c:v>26.307289953175001</c:v>
                </c:pt>
                <c:pt idx="16">
                  <c:v>28.938036888658299</c:v>
                </c:pt>
                <c:pt idx="17">
                  <c:v>31.568758195333299</c:v>
                </c:pt>
                <c:pt idx="18">
                  <c:v>34.199505130816597</c:v>
                </c:pt>
                <c:pt idx="19">
                  <c:v>36.830141957491698</c:v>
                </c:pt>
                <c:pt idx="20">
                  <c:v>39.460863264166697</c:v>
                </c:pt>
                <c:pt idx="21">
                  <c:v>42.091610199649999</c:v>
                </c:pt>
                <c:pt idx="22">
                  <c:v>44.722331506324998</c:v>
                </c:pt>
                <c:pt idx="23">
                  <c:v>47.353052812999998</c:v>
                </c:pt>
                <c:pt idx="24">
                  <c:v>49.9837997484833</c:v>
                </c:pt>
                <c:pt idx="25">
                  <c:v>52.614521055158299</c:v>
                </c:pt>
                <c:pt idx="26">
                  <c:v>55.245242361833299</c:v>
                </c:pt>
                <c:pt idx="27">
                  <c:v>57.8759892973167</c:v>
                </c:pt>
                <c:pt idx="28">
                  <c:v>60.506710603991699</c:v>
                </c:pt>
                <c:pt idx="29">
                  <c:v>63.137431910666599</c:v>
                </c:pt>
                <c:pt idx="30">
                  <c:v>65.768178846149993</c:v>
                </c:pt>
                <c:pt idx="31">
                  <c:v>68.398900152824993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AA-43F9-99B3-6EABDA1A63D6}"/>
            </c:ext>
          </c:extLst>
        </c:ser>
        <c:ser>
          <c:idx val="4"/>
          <c:order val="4"/>
          <c:tx>
            <c:strRef>
              <c:f>Cropland!$F$3</c:f>
              <c:strCache>
                <c:ptCount val="1"/>
                <c:pt idx="0">
                  <c:v>Other Land converted to Cropland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Cropland!$A$4:$A$35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Cropland!$F$4:$F$35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-8.7277941186333301</c:v>
                </c:pt>
                <c:pt idx="7">
                  <c:v>-17.455485532741701</c:v>
                </c:pt>
                <c:pt idx="8">
                  <c:v>-26.247315491375002</c:v>
                </c:pt>
                <c:pt idx="9">
                  <c:v>-34.996444512149999</c:v>
                </c:pt>
                <c:pt idx="10">
                  <c:v>-43.7454634241167</c:v>
                </c:pt>
                <c:pt idx="11">
                  <c:v>-52.494630982750003</c:v>
                </c:pt>
                <c:pt idx="12">
                  <c:v>-61.243760003524997</c:v>
                </c:pt>
                <c:pt idx="13">
                  <c:v>-69.9929275621584</c:v>
                </c:pt>
                <c:pt idx="14">
                  <c:v>-78.741946474125001</c:v>
                </c:pt>
                <c:pt idx="15">
                  <c:v>-87.491075494900002</c:v>
                </c:pt>
                <c:pt idx="16">
                  <c:v>-96.240243053533305</c:v>
                </c:pt>
                <c:pt idx="17">
                  <c:v>-104.989223427642</c:v>
                </c:pt>
                <c:pt idx="18">
                  <c:v>-113.73839098627499</c:v>
                </c:pt>
                <c:pt idx="19">
                  <c:v>-122.487558544908</c:v>
                </c:pt>
                <c:pt idx="20">
                  <c:v>-122.52501750490801</c:v>
                </c:pt>
                <c:pt idx="21">
                  <c:v>-139.98570647765001</c:v>
                </c:pt>
                <c:pt idx="22">
                  <c:v>-148.73483549842501</c:v>
                </c:pt>
                <c:pt idx="23">
                  <c:v>-157.48385441039201</c:v>
                </c:pt>
                <c:pt idx="24">
                  <c:v>-166.233021969025</c:v>
                </c:pt>
                <c:pt idx="25">
                  <c:v>-174.9821509898</c:v>
                </c:pt>
                <c:pt idx="26">
                  <c:v>-183.73131854843299</c:v>
                </c:pt>
                <c:pt idx="27">
                  <c:v>-192.48033746039999</c:v>
                </c:pt>
                <c:pt idx="28">
                  <c:v>-201.229466481175</c:v>
                </c:pt>
                <c:pt idx="29">
                  <c:v>-209.97863403980799</c:v>
                </c:pt>
                <c:pt idx="30">
                  <c:v>-218.727614413917</c:v>
                </c:pt>
                <c:pt idx="31">
                  <c:v>-227.47678197254999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AA-43F9-99B3-6EABDA1A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164080"/>
        <c:axId val="1529180880"/>
      </c:barChart>
      <c:catAx>
        <c:axId val="152916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80880"/>
        <c:crosses val="autoZero"/>
        <c:auto val="1"/>
        <c:lblAlgn val="ctr"/>
        <c:lblOffset val="100"/>
        <c:noMultiLvlLbl val="0"/>
      </c:catAx>
      <c:valAx>
        <c:axId val="15291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Emissions and</a:t>
                </a:r>
                <a:r>
                  <a:rPr lang="en-GB" baseline="0"/>
                  <a:t> Removals</a:t>
                </a:r>
                <a:r>
                  <a:rPr lang="en-GB"/>
                  <a:t>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6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Settlement!$B$2</c:f>
              <c:strCache>
                <c:ptCount val="1"/>
                <c:pt idx="0">
                  <c:v>Forest Land converted to Settlements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Settlement!$B$3:$B$34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4.8503673276666701</c:v>
                </c:pt>
                <c:pt idx="7">
                  <c:v>29.922880533333299</c:v>
                </c:pt>
                <c:pt idx="8">
                  <c:v>44.884235733333298</c:v>
                </c:pt>
                <c:pt idx="9">
                  <c:v>59.845761066666697</c:v>
                </c:pt>
                <c:pt idx="10">
                  <c:v>74.807116266666696</c:v>
                </c:pt>
                <c:pt idx="11">
                  <c:v>89.768471466666696</c:v>
                </c:pt>
                <c:pt idx="12">
                  <c:v>104.7299968</c:v>
                </c:pt>
                <c:pt idx="13">
                  <c:v>119.69135199999999</c:v>
                </c:pt>
                <c:pt idx="14">
                  <c:v>134.65270720000001</c:v>
                </c:pt>
                <c:pt idx="15">
                  <c:v>149.61423253333299</c:v>
                </c:pt>
                <c:pt idx="16">
                  <c:v>164.57558773333301</c:v>
                </c:pt>
                <c:pt idx="17">
                  <c:v>179.53711306666699</c:v>
                </c:pt>
                <c:pt idx="18">
                  <c:v>194.49829813333301</c:v>
                </c:pt>
                <c:pt idx="19">
                  <c:v>209.45965333333299</c:v>
                </c:pt>
                <c:pt idx="20">
                  <c:v>224.421178666667</c:v>
                </c:pt>
                <c:pt idx="21">
                  <c:v>239.38253386666699</c:v>
                </c:pt>
                <c:pt idx="22">
                  <c:v>254.3440592</c:v>
                </c:pt>
                <c:pt idx="23">
                  <c:v>269.30541440000002</c:v>
                </c:pt>
                <c:pt idx="24">
                  <c:v>284.26676959999998</c:v>
                </c:pt>
                <c:pt idx="25">
                  <c:v>299.22829493333302</c:v>
                </c:pt>
                <c:pt idx="26">
                  <c:v>314.18965013333298</c:v>
                </c:pt>
                <c:pt idx="27">
                  <c:v>329.15100533333299</c:v>
                </c:pt>
                <c:pt idx="28">
                  <c:v>344.112530666667</c:v>
                </c:pt>
                <c:pt idx="29">
                  <c:v>359.07388586666701</c:v>
                </c:pt>
                <c:pt idx="30">
                  <c:v>374.0354112</c:v>
                </c:pt>
                <c:pt idx="31">
                  <c:v>388.99676640000001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6-4018-B4E8-7DED744F91B4}"/>
            </c:ext>
          </c:extLst>
        </c:ser>
        <c:ser>
          <c:idx val="1"/>
          <c:order val="1"/>
          <c:tx>
            <c:strRef>
              <c:f>Settlement!$C$2</c:f>
              <c:strCache>
                <c:ptCount val="1"/>
                <c:pt idx="0">
                  <c:v>Cropland converted to Settlements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35.9155571159</c:v>
                </c:pt>
                <c:pt idx="7">
                  <c:v>71.831114231800001</c:v>
                </c:pt>
                <c:pt idx="8">
                  <c:v>107.7466713477</c:v>
                </c:pt>
                <c:pt idx="9">
                  <c:v>143.6622284636</c:v>
                </c:pt>
                <c:pt idx="10">
                  <c:v>179.577857446167</c:v>
                </c:pt>
                <c:pt idx="11">
                  <c:v>215.49341456206699</c:v>
                </c:pt>
                <c:pt idx="12">
                  <c:v>251.408971677967</c:v>
                </c:pt>
                <c:pt idx="13">
                  <c:v>287.32452879386699</c:v>
                </c:pt>
                <c:pt idx="14">
                  <c:v>323.240085909767</c:v>
                </c:pt>
                <c:pt idx="15">
                  <c:v>359.15564302566702</c:v>
                </c:pt>
                <c:pt idx="16">
                  <c:v>395.07120014156698</c:v>
                </c:pt>
                <c:pt idx="17">
                  <c:v>430.98675725746699</c:v>
                </c:pt>
                <c:pt idx="18">
                  <c:v>466.90231437336701</c:v>
                </c:pt>
                <c:pt idx="19">
                  <c:v>502.81794335593298</c:v>
                </c:pt>
                <c:pt idx="20">
                  <c:v>538.73350047183305</c:v>
                </c:pt>
                <c:pt idx="21">
                  <c:v>574.64905758773295</c:v>
                </c:pt>
                <c:pt idx="22">
                  <c:v>610.56461470363297</c:v>
                </c:pt>
                <c:pt idx="23">
                  <c:v>646.48017181953401</c:v>
                </c:pt>
                <c:pt idx="24">
                  <c:v>682.39572893543402</c:v>
                </c:pt>
                <c:pt idx="25">
                  <c:v>718.31128605133301</c:v>
                </c:pt>
                <c:pt idx="26">
                  <c:v>754.22684316723405</c:v>
                </c:pt>
                <c:pt idx="27">
                  <c:v>790.14247214980003</c:v>
                </c:pt>
                <c:pt idx="28">
                  <c:v>826.05802926570004</c:v>
                </c:pt>
                <c:pt idx="29">
                  <c:v>861.97358638159994</c:v>
                </c:pt>
                <c:pt idx="30">
                  <c:v>897.88914349749996</c:v>
                </c:pt>
                <c:pt idx="31">
                  <c:v>933.80470061339997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6-4018-B4E8-7DED744F91B4}"/>
            </c:ext>
          </c:extLst>
        </c:ser>
        <c:ser>
          <c:idx val="2"/>
          <c:order val="2"/>
          <c:tx>
            <c:strRef>
              <c:f>Settlement!$D$2</c:f>
              <c:strCache>
                <c:ptCount val="1"/>
                <c:pt idx="0">
                  <c:v>Grassland converted to Settlements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Settlement!$D$3:$D$34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0.188190566666667</c:v>
                </c:pt>
                <c:pt idx="7">
                  <c:v>0.37639204166666601</c:v>
                </c:pt>
                <c:pt idx="8">
                  <c:v>0.56458260833333296</c:v>
                </c:pt>
                <c:pt idx="9">
                  <c:v>0.75277317499999896</c:v>
                </c:pt>
                <c:pt idx="10">
                  <c:v>0.94097464999999902</c:v>
                </c:pt>
                <c:pt idx="11">
                  <c:v>1.1291652166666699</c:v>
                </c:pt>
                <c:pt idx="12">
                  <c:v>1.31735578333333</c:v>
                </c:pt>
                <c:pt idx="13">
                  <c:v>1.5055463499999999</c:v>
                </c:pt>
                <c:pt idx="14">
                  <c:v>1.693747825</c:v>
                </c:pt>
                <c:pt idx="15">
                  <c:v>1.8819383916666701</c:v>
                </c:pt>
                <c:pt idx="16">
                  <c:v>2.07012895833333</c:v>
                </c:pt>
                <c:pt idx="17">
                  <c:v>2.2583304333333301</c:v>
                </c:pt>
                <c:pt idx="18">
                  <c:v>2.4465210000000002</c:v>
                </c:pt>
                <c:pt idx="19">
                  <c:v>2.6347115666666698</c:v>
                </c:pt>
                <c:pt idx="20">
                  <c:v>2.8229130416666601</c:v>
                </c:pt>
                <c:pt idx="21">
                  <c:v>3.0111036083333298</c:v>
                </c:pt>
                <c:pt idx="22">
                  <c:v>3.1992941749999999</c:v>
                </c:pt>
                <c:pt idx="23">
                  <c:v>3.38749565</c:v>
                </c:pt>
                <c:pt idx="24">
                  <c:v>3.5756862166666599</c:v>
                </c:pt>
                <c:pt idx="25">
                  <c:v>3.76387678333333</c:v>
                </c:pt>
                <c:pt idx="26">
                  <c:v>3.9520673500000001</c:v>
                </c:pt>
                <c:pt idx="27">
                  <c:v>4.1402688249999997</c:v>
                </c:pt>
                <c:pt idx="28">
                  <c:v>4.3284593916666596</c:v>
                </c:pt>
                <c:pt idx="29">
                  <c:v>4.5166499583333302</c:v>
                </c:pt>
                <c:pt idx="30">
                  <c:v>4.7048514333333298</c:v>
                </c:pt>
                <c:pt idx="31">
                  <c:v>4.8930420000000003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B6-4018-B4E8-7DED744F91B4}"/>
            </c:ext>
          </c:extLst>
        </c:ser>
        <c:ser>
          <c:idx val="3"/>
          <c:order val="3"/>
          <c:tx>
            <c:strRef>
              <c:f>Settlement!$E$2</c:f>
              <c:strCache>
                <c:ptCount val="1"/>
                <c:pt idx="0">
                  <c:v>Other Land converted to Settlements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Settlement!$A$3:$A$34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Settlement!$E$3:$E$34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-0.69380646133333301</c:v>
                </c:pt>
                <c:pt idx="7">
                  <c:v>-1.32927666666667</c:v>
                </c:pt>
                <c:pt idx="8">
                  <c:v>-1.9939150000000001</c:v>
                </c:pt>
                <c:pt idx="9">
                  <c:v>-2.6585533333333302</c:v>
                </c:pt>
                <c:pt idx="10">
                  <c:v>-3.3231916666666699</c:v>
                </c:pt>
                <c:pt idx="11">
                  <c:v>-3.9878300000000002</c:v>
                </c:pt>
                <c:pt idx="12">
                  <c:v>-4.6524683333333297</c:v>
                </c:pt>
                <c:pt idx="13">
                  <c:v>-5.3171066666666702</c:v>
                </c:pt>
                <c:pt idx="14">
                  <c:v>-5.9817450000000001</c:v>
                </c:pt>
                <c:pt idx="15">
                  <c:v>-6.64638333333333</c:v>
                </c:pt>
                <c:pt idx="16">
                  <c:v>-7.3110216666666696</c:v>
                </c:pt>
                <c:pt idx="17">
                  <c:v>-7.9756600000000004</c:v>
                </c:pt>
                <c:pt idx="18">
                  <c:v>-8.6402341666666693</c:v>
                </c:pt>
                <c:pt idx="19">
                  <c:v>-9.3048725000000001</c:v>
                </c:pt>
                <c:pt idx="20">
                  <c:v>-9.9695108333333309</c:v>
                </c:pt>
                <c:pt idx="21">
                  <c:v>-10.634149166666701</c:v>
                </c:pt>
                <c:pt idx="22">
                  <c:v>-11.2987875</c:v>
                </c:pt>
                <c:pt idx="23">
                  <c:v>-11.9634258333333</c:v>
                </c:pt>
                <c:pt idx="24">
                  <c:v>-12.6280641666667</c:v>
                </c:pt>
                <c:pt idx="25">
                  <c:v>-13.292702500000001</c:v>
                </c:pt>
                <c:pt idx="26">
                  <c:v>-13.9573408333333</c:v>
                </c:pt>
                <c:pt idx="27">
                  <c:v>-14.6219791666667</c:v>
                </c:pt>
                <c:pt idx="28">
                  <c:v>-15.2866175</c:v>
                </c:pt>
                <c:pt idx="29">
                  <c:v>-15.951255833333301</c:v>
                </c:pt>
                <c:pt idx="30">
                  <c:v>-16.615894166666699</c:v>
                </c:pt>
                <c:pt idx="31">
                  <c:v>-17.2805325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B6-4018-B4E8-7DED744F9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214960"/>
        <c:axId val="1529214000"/>
      </c:barChart>
      <c:catAx>
        <c:axId val="152921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214000"/>
        <c:crosses val="autoZero"/>
        <c:auto val="1"/>
        <c:lblAlgn val="ctr"/>
        <c:lblOffset val="100"/>
        <c:noMultiLvlLbl val="0"/>
      </c:catAx>
      <c:valAx>
        <c:axId val="152921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Emissions and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21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Settlement!$B$38</c:f>
              <c:strCache>
                <c:ptCount val="1"/>
                <c:pt idx="0">
                  <c:v>Forest Land converted to Other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Settlement!$B$39:$B$70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47.862168859999997</c:v>
                </c:pt>
                <c:pt idx="7">
                  <c:v>30.27563</c:v>
                </c:pt>
                <c:pt idx="8">
                  <c:v>45.413380833333299</c:v>
                </c:pt>
                <c:pt idx="9">
                  <c:v>60.551259999999999</c:v>
                </c:pt>
                <c:pt idx="10">
                  <c:v>75.689010833333299</c:v>
                </c:pt>
                <c:pt idx="11">
                  <c:v>90.826890000000006</c:v>
                </c:pt>
                <c:pt idx="12">
                  <c:v>105.96464083333299</c:v>
                </c:pt>
                <c:pt idx="13">
                  <c:v>121.102455833333</c:v>
                </c:pt>
                <c:pt idx="14">
                  <c:v>136.240270833333</c:v>
                </c:pt>
                <c:pt idx="15">
                  <c:v>151.37808583333299</c:v>
                </c:pt>
                <c:pt idx="16">
                  <c:v>166.51590083333301</c:v>
                </c:pt>
                <c:pt idx="17">
                  <c:v>181.653715833333</c:v>
                </c:pt>
                <c:pt idx="18">
                  <c:v>196.79146666666699</c:v>
                </c:pt>
                <c:pt idx="19">
                  <c:v>211.92928166666701</c:v>
                </c:pt>
                <c:pt idx="20">
                  <c:v>227.067096666667</c:v>
                </c:pt>
                <c:pt idx="21">
                  <c:v>242.20491166666699</c:v>
                </c:pt>
                <c:pt idx="22">
                  <c:v>257.34272666666698</c:v>
                </c:pt>
                <c:pt idx="23">
                  <c:v>272.48054166666702</c:v>
                </c:pt>
                <c:pt idx="24">
                  <c:v>287.61835666666701</c:v>
                </c:pt>
                <c:pt idx="25">
                  <c:v>302.75610749999998</c:v>
                </c:pt>
                <c:pt idx="26">
                  <c:v>317.89398666666699</c:v>
                </c:pt>
                <c:pt idx="27">
                  <c:v>333.03173750000002</c:v>
                </c:pt>
                <c:pt idx="28">
                  <c:v>348.16961666666703</c:v>
                </c:pt>
                <c:pt idx="29">
                  <c:v>363.3073675</c:v>
                </c:pt>
                <c:pt idx="30">
                  <c:v>378.445246666667</c:v>
                </c:pt>
                <c:pt idx="31">
                  <c:v>393.58299749999998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4-49C4-930F-34F34F9E5D33}"/>
            </c:ext>
          </c:extLst>
        </c:ser>
        <c:ser>
          <c:idx val="1"/>
          <c:order val="1"/>
          <c:tx>
            <c:strRef>
              <c:f>Settlement!$C$38</c:f>
              <c:strCache>
                <c:ptCount val="1"/>
                <c:pt idx="0">
                  <c:v>Cropland converted to Other 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Settlement!$C$39:$C$70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50.587328431016701</c:v>
                </c:pt>
                <c:pt idx="7">
                  <c:v>14.252310362033301</c:v>
                </c:pt>
                <c:pt idx="8">
                  <c:v>21.378394921858298</c:v>
                </c:pt>
                <c:pt idx="9">
                  <c:v>28.504518019541699</c:v>
                </c:pt>
                <c:pt idx="10">
                  <c:v>35.6307052838917</c:v>
                </c:pt>
                <c:pt idx="11">
                  <c:v>42.756828381574998</c:v>
                </c:pt>
                <c:pt idx="12">
                  <c:v>49.882912941400001</c:v>
                </c:pt>
                <c:pt idx="13">
                  <c:v>57.009036039083298</c:v>
                </c:pt>
                <c:pt idx="14">
                  <c:v>64.135223303433307</c:v>
                </c:pt>
                <c:pt idx="15">
                  <c:v>71.261346401116697</c:v>
                </c:pt>
                <c:pt idx="16">
                  <c:v>78.3874309609417</c:v>
                </c:pt>
                <c:pt idx="17">
                  <c:v>85.513618225291694</c:v>
                </c:pt>
                <c:pt idx="18">
                  <c:v>92.639741322974999</c:v>
                </c:pt>
                <c:pt idx="19">
                  <c:v>99.765864420658303</c:v>
                </c:pt>
                <c:pt idx="20">
                  <c:v>106.892051685008</c:v>
                </c:pt>
                <c:pt idx="21">
                  <c:v>114.018136244833</c:v>
                </c:pt>
                <c:pt idx="22">
                  <c:v>121.144259342517</c:v>
                </c:pt>
                <c:pt idx="23">
                  <c:v>128.27044660686701</c:v>
                </c:pt>
                <c:pt idx="24">
                  <c:v>135.39656970454999</c:v>
                </c:pt>
                <c:pt idx="25">
                  <c:v>142.52265426437501</c:v>
                </c:pt>
                <c:pt idx="26">
                  <c:v>149.64877736205801</c:v>
                </c:pt>
                <c:pt idx="27">
                  <c:v>156.77496462640801</c:v>
                </c:pt>
                <c:pt idx="28">
                  <c:v>163.90108772409201</c:v>
                </c:pt>
                <c:pt idx="29">
                  <c:v>171.027172283917</c:v>
                </c:pt>
                <c:pt idx="30">
                  <c:v>178.15335954826699</c:v>
                </c:pt>
                <c:pt idx="31">
                  <c:v>185.27948264595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4-49C4-930F-34F34F9E5D33}"/>
            </c:ext>
          </c:extLst>
        </c:ser>
        <c:ser>
          <c:idx val="2"/>
          <c:order val="2"/>
          <c:tx>
            <c:strRef>
              <c:f>Settlement!$D$38</c:f>
              <c:strCache>
                <c:ptCount val="1"/>
                <c:pt idx="0">
                  <c:v>Grassland converted to Other 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Settlement!$D$39:$D$70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431.09920986953301</c:v>
                </c:pt>
                <c:pt idx="7">
                  <c:v>191.07799910833299</c:v>
                </c:pt>
                <c:pt idx="8">
                  <c:v>286.616689791667</c:v>
                </c:pt>
                <c:pt idx="9">
                  <c:v>382.155998216667</c:v>
                </c:pt>
                <c:pt idx="10">
                  <c:v>477.69468890000002</c:v>
                </c:pt>
                <c:pt idx="11">
                  <c:v>477.69468890000002</c:v>
                </c:pt>
                <c:pt idx="12">
                  <c:v>477.69468890000002</c:v>
                </c:pt>
                <c:pt idx="13">
                  <c:v>477.69468890000002</c:v>
                </c:pt>
                <c:pt idx="14">
                  <c:v>477.69468890000002</c:v>
                </c:pt>
                <c:pt idx="15">
                  <c:v>477.69468890000002</c:v>
                </c:pt>
                <c:pt idx="16">
                  <c:v>477.69468890000002</c:v>
                </c:pt>
                <c:pt idx="17">
                  <c:v>477.69468890000002</c:v>
                </c:pt>
                <c:pt idx="18">
                  <c:v>477.69468890000002</c:v>
                </c:pt>
                <c:pt idx="19">
                  <c:v>477.69468890000002</c:v>
                </c:pt>
                <c:pt idx="20">
                  <c:v>477.69468890000002</c:v>
                </c:pt>
                <c:pt idx="21">
                  <c:v>477.69468890000002</c:v>
                </c:pt>
                <c:pt idx="22">
                  <c:v>477.69468890000002</c:v>
                </c:pt>
                <c:pt idx="23">
                  <c:v>477.69468890000002</c:v>
                </c:pt>
                <c:pt idx="24">
                  <c:v>477.69468890000002</c:v>
                </c:pt>
                <c:pt idx="25">
                  <c:v>477.69468890000002</c:v>
                </c:pt>
                <c:pt idx="26">
                  <c:v>243.83061202499999</c:v>
                </c:pt>
                <c:pt idx="27">
                  <c:v>255.44156137499999</c:v>
                </c:pt>
                <c:pt idx="28">
                  <c:v>267.05258579999997</c:v>
                </c:pt>
                <c:pt idx="29">
                  <c:v>278.66353514999997</c:v>
                </c:pt>
                <c:pt idx="30">
                  <c:v>290.27455957500001</c:v>
                </c:pt>
                <c:pt idx="31">
                  <c:v>301.88550892500001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4-49C4-930F-34F34F9E5D33}"/>
            </c:ext>
          </c:extLst>
        </c:ser>
        <c:ser>
          <c:idx val="3"/>
          <c:order val="3"/>
          <c:tx>
            <c:strRef>
              <c:f>Settlement!$E$38</c:f>
              <c:strCache>
                <c:ptCount val="1"/>
                <c:pt idx="0">
                  <c:v>Settlements converted to Other 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Settlement!$A$39:$A$70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Settlement!$E$39:$E$70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3.78884</c:v>
                </c:pt>
                <c:pt idx="7">
                  <c:v>3.1749520000000002</c:v>
                </c:pt>
                <c:pt idx="8">
                  <c:v>3.1749520000000002</c:v>
                </c:pt>
                <c:pt idx="9">
                  <c:v>3.1749520000000002</c:v>
                </c:pt>
                <c:pt idx="10">
                  <c:v>15.875366833333301</c:v>
                </c:pt>
                <c:pt idx="11">
                  <c:v>19.0503188333333</c:v>
                </c:pt>
                <c:pt idx="12">
                  <c:v>15.875366833333301</c:v>
                </c:pt>
                <c:pt idx="13">
                  <c:v>15.875366833333301</c:v>
                </c:pt>
                <c:pt idx="14">
                  <c:v>15.875366833333301</c:v>
                </c:pt>
                <c:pt idx="15">
                  <c:v>15.875366833333301</c:v>
                </c:pt>
                <c:pt idx="16">
                  <c:v>15.875366833333301</c:v>
                </c:pt>
                <c:pt idx="17">
                  <c:v>15.875366833333301</c:v>
                </c:pt>
                <c:pt idx="18">
                  <c:v>15.875366833333301</c:v>
                </c:pt>
                <c:pt idx="19">
                  <c:v>15.875366833333301</c:v>
                </c:pt>
                <c:pt idx="20">
                  <c:v>15.875366833333301</c:v>
                </c:pt>
                <c:pt idx="21">
                  <c:v>15.875366833333301</c:v>
                </c:pt>
                <c:pt idx="22">
                  <c:v>15.875366833333301</c:v>
                </c:pt>
                <c:pt idx="23">
                  <c:v>15.875366833333301</c:v>
                </c:pt>
                <c:pt idx="24">
                  <c:v>15.875366833333301</c:v>
                </c:pt>
                <c:pt idx="25">
                  <c:v>15.875366833333301</c:v>
                </c:pt>
                <c:pt idx="26">
                  <c:v>7.0502483333333297</c:v>
                </c:pt>
                <c:pt idx="27">
                  <c:v>7.3860324999999998</c:v>
                </c:pt>
                <c:pt idx="28">
                  <c:v>7.7217525</c:v>
                </c:pt>
                <c:pt idx="29">
                  <c:v>8.0574724999999994</c:v>
                </c:pt>
                <c:pt idx="30">
                  <c:v>8.3931924999999996</c:v>
                </c:pt>
                <c:pt idx="31">
                  <c:v>8.7289124999999999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C4-49C4-930F-34F34F9E5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1949840"/>
        <c:axId val="1371947920"/>
      </c:barChart>
      <c:catAx>
        <c:axId val="137194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1947920"/>
        <c:crosses val="autoZero"/>
        <c:auto val="1"/>
        <c:lblAlgn val="ctr"/>
        <c:lblOffset val="100"/>
        <c:noMultiLvlLbl val="0"/>
      </c:catAx>
      <c:valAx>
        <c:axId val="137194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CO2 Emissions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7194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Forestland!$B$2</c:f>
              <c:strCache>
                <c:ptCount val="1"/>
                <c:pt idx="0">
                  <c:v>Forest land Remaining Forest land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Forestland!$B$3:$B$34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-184239.07016824299</c:v>
                </c:pt>
                <c:pt idx="7">
                  <c:v>-182558.095671741</c:v>
                </c:pt>
                <c:pt idx="8">
                  <c:v>-180935.647041588</c:v>
                </c:pt>
                <c:pt idx="9">
                  <c:v>-180912.567374645</c:v>
                </c:pt>
                <c:pt idx="10">
                  <c:v>-177690.74956345401</c:v>
                </c:pt>
                <c:pt idx="11">
                  <c:v>-176068.30089194101</c:v>
                </c:pt>
                <c:pt idx="12">
                  <c:v>-174004.67888433801</c:v>
                </c:pt>
                <c:pt idx="13">
                  <c:v>-170920.84358586499</c:v>
                </c:pt>
                <c:pt idx="14">
                  <c:v>-171200.954739537</c:v>
                </c:pt>
                <c:pt idx="15">
                  <c:v>-169578.50610773001</c:v>
                </c:pt>
                <c:pt idx="16">
                  <c:v>-167956.05743787199</c:v>
                </c:pt>
                <c:pt idx="17">
                  <c:v>-166333.60862959601</c:v>
                </c:pt>
                <c:pt idx="18">
                  <c:v>-164711.15999944301</c:v>
                </c:pt>
                <c:pt idx="19">
                  <c:v>-163088.711329585</c:v>
                </c:pt>
                <c:pt idx="20">
                  <c:v>-161466.26252130899</c:v>
                </c:pt>
                <c:pt idx="21">
                  <c:v>-159843.81385145101</c:v>
                </c:pt>
                <c:pt idx="22">
                  <c:v>-158221.36521964401</c:v>
                </c:pt>
                <c:pt idx="23">
                  <c:v>-156598.91637331599</c:v>
                </c:pt>
                <c:pt idx="24">
                  <c:v>-154976.467741509</c:v>
                </c:pt>
                <c:pt idx="25">
                  <c:v>-153354.01906723899</c:v>
                </c:pt>
                <c:pt idx="26">
                  <c:v>-151731.570395727</c:v>
                </c:pt>
                <c:pt idx="27">
                  <c:v>-150109.12158910499</c:v>
                </c:pt>
                <c:pt idx="28">
                  <c:v>-146143.190805538</c:v>
                </c:pt>
                <c:pt idx="29">
                  <c:v>-146864.22428744001</c:v>
                </c:pt>
                <c:pt idx="30">
                  <c:v>-145241.775439458</c:v>
                </c:pt>
                <c:pt idx="31">
                  <c:v>-141540.96086411201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1-40B0-8291-F9BB9E8FC7EE}"/>
            </c:ext>
          </c:extLst>
        </c:ser>
        <c:ser>
          <c:idx val="1"/>
          <c:order val="1"/>
          <c:tx>
            <c:strRef>
              <c:f>Forestland!$C$2</c:f>
              <c:strCache>
                <c:ptCount val="1"/>
                <c:pt idx="0">
                  <c:v>Cropland converted to Forest Land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Forestland!$C$3:$C$34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-2831.0003988067101</c:v>
                </c:pt>
                <c:pt idx="7">
                  <c:v>-5783.42180098888</c:v>
                </c:pt>
                <c:pt idx="8">
                  <c:v>-8675.1328095707904</c:v>
                </c:pt>
                <c:pt idx="9">
                  <c:v>-11566.843778447101</c:v>
                </c:pt>
                <c:pt idx="10">
                  <c:v>-14458.554852363401</c:v>
                </c:pt>
                <c:pt idx="11">
                  <c:v>-17350.265644770399</c:v>
                </c:pt>
                <c:pt idx="12">
                  <c:v>-20241.9766533523</c:v>
                </c:pt>
                <c:pt idx="13">
                  <c:v>-23133.687622228601</c:v>
                </c:pt>
                <c:pt idx="14">
                  <c:v>-26025.398630810501</c:v>
                </c:pt>
                <c:pt idx="15">
                  <c:v>-28917.109423217498</c:v>
                </c:pt>
                <c:pt idx="16">
                  <c:v>-31808.820431799399</c:v>
                </c:pt>
                <c:pt idx="17">
                  <c:v>-34700.531400675703</c:v>
                </c:pt>
                <c:pt idx="18">
                  <c:v>-37592.242298122699</c:v>
                </c:pt>
                <c:pt idx="19">
                  <c:v>-40483.953469097098</c:v>
                </c:pt>
                <c:pt idx="20">
                  <c:v>-43375.664477678998</c:v>
                </c:pt>
                <c:pt idx="21">
                  <c:v>-46267.375446555401</c:v>
                </c:pt>
                <c:pt idx="22">
                  <c:v>-49159.086278667899</c:v>
                </c:pt>
                <c:pt idx="23">
                  <c:v>-52050.7972475442</c:v>
                </c:pt>
                <c:pt idx="24">
                  <c:v>-54942.508256126101</c:v>
                </c:pt>
                <c:pt idx="25">
                  <c:v>-57834.219225002496</c:v>
                </c:pt>
                <c:pt idx="26">
                  <c:v>-60725.930057115002</c:v>
                </c:pt>
                <c:pt idx="27">
                  <c:v>-63617.641091325699</c:v>
                </c:pt>
                <c:pt idx="28">
                  <c:v>-66509.352099907701</c:v>
                </c:pt>
                <c:pt idx="29">
                  <c:v>-69401.063068784002</c:v>
                </c:pt>
                <c:pt idx="30">
                  <c:v>-72292.7739008965</c:v>
                </c:pt>
                <c:pt idx="31">
                  <c:v>-75184.484869772801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B1-40B0-8291-F9BB9E8FC7EE}"/>
            </c:ext>
          </c:extLst>
        </c:ser>
        <c:ser>
          <c:idx val="2"/>
          <c:order val="2"/>
          <c:tx>
            <c:strRef>
              <c:f>Forestland!$D$2</c:f>
              <c:strCache>
                <c:ptCount val="1"/>
                <c:pt idx="0">
                  <c:v>Grassland converted to Forest Land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Forestland!$D$3:$D$34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-235.104515593933</c:v>
                </c:pt>
                <c:pt idx="7">
                  <c:v>-487.91706690686698</c:v>
                </c:pt>
                <c:pt idx="8">
                  <c:v>-731.87568314079999</c:v>
                </c:pt>
                <c:pt idx="9">
                  <c:v>-975.83427057746701</c:v>
                </c:pt>
                <c:pt idx="10">
                  <c:v>-1219.7927212504001</c:v>
                </c:pt>
                <c:pt idx="11">
                  <c:v>-1463.75133748433</c:v>
                </c:pt>
                <c:pt idx="12">
                  <c:v>-1707.7099537182701</c:v>
                </c:pt>
                <c:pt idx="13">
                  <c:v>-1951.6684043912001</c:v>
                </c:pt>
                <c:pt idx="14">
                  <c:v>-2195.6270206251302</c:v>
                </c:pt>
                <c:pt idx="15">
                  <c:v>-2439.5856080618</c:v>
                </c:pt>
                <c:pt idx="16">
                  <c:v>-2683.5440587347298</c:v>
                </c:pt>
                <c:pt idx="17">
                  <c:v>-2927.5026749686699</c:v>
                </c:pt>
                <c:pt idx="18">
                  <c:v>-3171.4611256416001</c:v>
                </c:pt>
                <c:pt idx="19">
                  <c:v>-3415.4197418755298</c:v>
                </c:pt>
                <c:pt idx="20">
                  <c:v>-3659.3783581094699</c:v>
                </c:pt>
                <c:pt idx="21">
                  <c:v>-3903.3368087824001</c:v>
                </c:pt>
                <c:pt idx="22">
                  <c:v>-4147.2953962190704</c:v>
                </c:pt>
                <c:pt idx="23">
                  <c:v>-4391.2540124529996</c:v>
                </c:pt>
                <c:pt idx="24">
                  <c:v>-4635.2124631259303</c:v>
                </c:pt>
                <c:pt idx="25">
                  <c:v>-4879.1710793598704</c:v>
                </c:pt>
                <c:pt idx="26">
                  <c:v>-5123.1296955937996</c:v>
                </c:pt>
                <c:pt idx="27">
                  <c:v>-5367.0881462667303</c:v>
                </c:pt>
                <c:pt idx="28">
                  <c:v>-5611.0467337033997</c:v>
                </c:pt>
                <c:pt idx="29">
                  <c:v>-5855.0053499373298</c:v>
                </c:pt>
                <c:pt idx="30">
                  <c:v>-6098.9638006102696</c:v>
                </c:pt>
                <c:pt idx="31">
                  <c:v>-6342.9224168441997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B1-40B0-8291-F9BB9E8FC7EE}"/>
            </c:ext>
          </c:extLst>
        </c:ser>
        <c:ser>
          <c:idx val="3"/>
          <c:order val="3"/>
          <c:tx>
            <c:strRef>
              <c:f>Forestland!$E$2</c:f>
              <c:strCache>
                <c:ptCount val="1"/>
                <c:pt idx="0">
                  <c:v>Settlements converted to Forest Land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Forestland!$E$3:$E$34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-10.5680447018667</c:v>
                </c:pt>
                <c:pt idx="7">
                  <c:v>-21.366800998399999</c:v>
                </c:pt>
                <c:pt idx="8">
                  <c:v>-32.050073557333299</c:v>
                </c:pt>
                <c:pt idx="9">
                  <c:v>-42.733385821866698</c:v>
                </c:pt>
                <c:pt idx="10">
                  <c:v>-53.416698086399997</c:v>
                </c:pt>
                <c:pt idx="11">
                  <c:v>-64.1001868202667</c:v>
                </c:pt>
                <c:pt idx="12">
                  <c:v>-74.783459379199996</c:v>
                </c:pt>
                <c:pt idx="13">
                  <c:v>-85.466771643733296</c:v>
                </c:pt>
                <c:pt idx="14">
                  <c:v>-96.150083908266694</c:v>
                </c:pt>
                <c:pt idx="15">
                  <c:v>-106.83357264213301</c:v>
                </c:pt>
                <c:pt idx="16">
                  <c:v>-117.516845201067</c:v>
                </c:pt>
                <c:pt idx="17">
                  <c:v>-128.2001574656</c:v>
                </c:pt>
                <c:pt idx="18">
                  <c:v>-138.88364619946699</c:v>
                </c:pt>
                <c:pt idx="19">
                  <c:v>-149.56695846400001</c:v>
                </c:pt>
                <c:pt idx="20">
                  <c:v>-160.250270728533</c:v>
                </c:pt>
                <c:pt idx="21">
                  <c:v>-170.93354328746699</c:v>
                </c:pt>
                <c:pt idx="22">
                  <c:v>-181.61703202133299</c:v>
                </c:pt>
                <c:pt idx="23">
                  <c:v>-192.300344285867</c:v>
                </c:pt>
                <c:pt idx="24">
                  <c:v>-202.98365655040001</c:v>
                </c:pt>
                <c:pt idx="25">
                  <c:v>-213.66692910933301</c:v>
                </c:pt>
                <c:pt idx="26">
                  <c:v>-224.35041784320001</c:v>
                </c:pt>
                <c:pt idx="27">
                  <c:v>-235.03373010773299</c:v>
                </c:pt>
                <c:pt idx="28">
                  <c:v>-245.717042372267</c:v>
                </c:pt>
                <c:pt idx="29">
                  <c:v>-256.4003149312</c:v>
                </c:pt>
                <c:pt idx="30">
                  <c:v>-267.08380366506702</c:v>
                </c:pt>
                <c:pt idx="31">
                  <c:v>-277.76711592959998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B1-40B0-8291-F9BB9E8FC7EE}"/>
            </c:ext>
          </c:extLst>
        </c:ser>
        <c:ser>
          <c:idx val="4"/>
          <c:order val="4"/>
          <c:tx>
            <c:strRef>
              <c:f>Forestland!$F$2</c:f>
              <c:strCache>
                <c:ptCount val="1"/>
                <c:pt idx="0">
                  <c:v>Other Land converted to Forest Land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Forestland!$A$3:$A$34</c:f>
              <c:numCache>
                <c:formatCode>General</c:formatCode>
                <c:ptCount val="3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</c:numCache>
            </c:numRef>
          </c:cat>
          <c:val>
            <c:numRef>
              <c:f>Forestland!$F$3:$F$34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-78.659893552533305</c:v>
                </c:pt>
                <c:pt idx="7">
                  <c:v>-157.56695706400001</c:v>
                </c:pt>
                <c:pt idx="8">
                  <c:v>-236.35026334186699</c:v>
                </c:pt>
                <c:pt idx="9">
                  <c:v>-315.13381025573301</c:v>
                </c:pt>
                <c:pt idx="10">
                  <c:v>-393.91711653359999</c:v>
                </c:pt>
                <c:pt idx="11">
                  <c:v>-472.70076731973302</c:v>
                </c:pt>
                <c:pt idx="12">
                  <c:v>-551.48407359759995</c:v>
                </c:pt>
                <c:pt idx="13">
                  <c:v>-629.05415320880002</c:v>
                </c:pt>
                <c:pt idx="14">
                  <c:v>-709.05092678933295</c:v>
                </c:pt>
                <c:pt idx="15">
                  <c:v>-787.83433693946699</c:v>
                </c:pt>
                <c:pt idx="16">
                  <c:v>-866.61788385333296</c:v>
                </c:pt>
                <c:pt idx="17">
                  <c:v>-945.4011901312</c:v>
                </c:pt>
                <c:pt idx="18">
                  <c:v>-1024.1844964090701</c:v>
                </c:pt>
                <c:pt idx="19">
                  <c:v>-1102.9681471951999</c:v>
                </c:pt>
                <c:pt idx="20">
                  <c:v>-1181.7514534730699</c:v>
                </c:pt>
                <c:pt idx="21">
                  <c:v>-1260.5350003869301</c:v>
                </c:pt>
                <c:pt idx="22">
                  <c:v>-1339.3184105370699</c:v>
                </c:pt>
                <c:pt idx="23">
                  <c:v>-1418.1019574509301</c:v>
                </c:pt>
                <c:pt idx="24">
                  <c:v>-1496.8852637288001</c:v>
                </c:pt>
                <c:pt idx="25">
                  <c:v>-1575.6685700066701</c:v>
                </c:pt>
                <c:pt idx="26">
                  <c:v>-1654.4522207928001</c:v>
                </c:pt>
                <c:pt idx="27">
                  <c:v>-1733.2355270706701</c:v>
                </c:pt>
                <c:pt idx="28">
                  <c:v>-1812.01907398453</c:v>
                </c:pt>
                <c:pt idx="29">
                  <c:v>-1890.8023802624</c:v>
                </c:pt>
                <c:pt idx="30">
                  <c:v>-1969.58603104853</c:v>
                </c:pt>
                <c:pt idx="31">
                  <c:v>-2048.3693373264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B1-40B0-8291-F9BB9E8FC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9207280"/>
        <c:axId val="1529190480"/>
      </c:barChart>
      <c:catAx>
        <c:axId val="15292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190480"/>
        <c:crosses val="autoZero"/>
        <c:auto val="1"/>
        <c:lblAlgn val="ctr"/>
        <c:lblOffset val="100"/>
        <c:noMultiLvlLbl val="0"/>
      </c:catAx>
      <c:valAx>
        <c:axId val="152919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CO2 Removals (Gg)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292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3174</xdr:colOff>
      <xdr:row>2</xdr:row>
      <xdr:rowOff>60324</xdr:rowOff>
    </xdr:from>
    <xdr:to>
      <xdr:col>43</xdr:col>
      <xdr:colOff>88899</xdr:colOff>
      <xdr:row>20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44DD9-DA73-81DE-4E91-88ED7F3BF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142874</xdr:colOff>
      <xdr:row>46</xdr:row>
      <xdr:rowOff>104774</xdr:rowOff>
    </xdr:from>
    <xdr:to>
      <xdr:col>19</xdr:col>
      <xdr:colOff>298450</xdr:colOff>
      <xdr:row>64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54221F-F93D-4EEB-6A06-97056CF0F1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</xdr:colOff>
      <xdr:row>84</xdr:row>
      <xdr:rowOff>222250</xdr:rowOff>
    </xdr:from>
    <xdr:to>
      <xdr:col>19</xdr:col>
      <xdr:colOff>136525</xdr:colOff>
      <xdr:row>104</xdr:row>
      <xdr:rowOff>6349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797AAE-3BF7-F6BA-9558-88F2C2447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121919</xdr:colOff>
      <xdr:row>19</xdr:row>
      <xdr:rowOff>152399</xdr:rowOff>
    </xdr:from>
    <xdr:to>
      <xdr:col>31</xdr:col>
      <xdr:colOff>512445</xdr:colOff>
      <xdr:row>42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9587CD-361B-D963-5767-33B77E6FB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22223</xdr:colOff>
      <xdr:row>19</xdr:row>
      <xdr:rowOff>38100</xdr:rowOff>
    </xdr:from>
    <xdr:to>
      <xdr:col>22</xdr:col>
      <xdr:colOff>257174</xdr:colOff>
      <xdr:row>36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E5257-5BE6-C8D8-1241-743AE7CAC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22</xdr:row>
      <xdr:rowOff>76200</xdr:rowOff>
    </xdr:from>
    <xdr:to>
      <xdr:col>16</xdr:col>
      <xdr:colOff>368300</xdr:colOff>
      <xdr:row>38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FD7ED-A28A-EDA1-2F90-721CA34A6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2</xdr:row>
      <xdr:rowOff>60324</xdr:rowOff>
    </xdr:from>
    <xdr:to>
      <xdr:col>17</xdr:col>
      <xdr:colOff>387350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8FA77-9901-9F00-026C-2E1FF11827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374650</xdr:colOff>
      <xdr:row>48</xdr:row>
      <xdr:rowOff>63500</xdr:rowOff>
    </xdr:from>
    <xdr:to>
      <xdr:col>17</xdr:col>
      <xdr:colOff>12700</xdr:colOff>
      <xdr:row>66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5D39C7-10F9-D197-C867-428282F5D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231774</xdr:colOff>
      <xdr:row>2</xdr:row>
      <xdr:rowOff>60324</xdr:rowOff>
    </xdr:from>
    <xdr:to>
      <xdr:col>19</xdr:col>
      <xdr:colOff>222249</xdr:colOff>
      <xdr:row>18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11796-4251-55E7-BBD5-D914B9B0F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15"/>
  <sheetViews>
    <sheetView tabSelected="1" topLeftCell="B1" zoomScale="130" zoomScaleNormal="130" workbookViewId="0">
      <selection activeCell="I47" sqref="I47"/>
    </sheetView>
  </sheetViews>
  <sheetFormatPr defaultRowHeight="14.5" x14ac:dyDescent="0.35"/>
  <cols>
    <col min="1" max="1" width="27.54296875" customWidth="1"/>
  </cols>
  <sheetData>
    <row r="3" spans="1:33" ht="18.649999999999999" customHeight="1" x14ac:dyDescent="0.35">
      <c r="A3" s="5" t="s">
        <v>0</v>
      </c>
      <c r="B3" s="6">
        <v>1990</v>
      </c>
      <c r="C3" s="6">
        <v>1991</v>
      </c>
      <c r="D3" s="6">
        <v>1992</v>
      </c>
      <c r="E3" s="6">
        <v>1993</v>
      </c>
      <c r="F3" s="6">
        <v>1994</v>
      </c>
      <c r="G3" s="6">
        <v>1995</v>
      </c>
      <c r="H3" s="6">
        <v>1996</v>
      </c>
      <c r="I3" s="6">
        <v>1997</v>
      </c>
      <c r="J3" s="6">
        <v>1998</v>
      </c>
      <c r="K3" s="6">
        <v>1999</v>
      </c>
      <c r="L3" s="6">
        <v>2000</v>
      </c>
      <c r="M3" s="6">
        <v>2001</v>
      </c>
      <c r="N3" s="6">
        <v>2002</v>
      </c>
      <c r="O3" s="6">
        <v>2003</v>
      </c>
      <c r="P3" s="7">
        <v>2004</v>
      </c>
      <c r="Q3" s="6">
        <v>2005</v>
      </c>
      <c r="R3" s="6">
        <v>2006</v>
      </c>
      <c r="S3" s="6">
        <v>2007</v>
      </c>
      <c r="T3" s="6">
        <v>2008</v>
      </c>
      <c r="U3" s="6">
        <v>2009</v>
      </c>
      <c r="V3" s="6">
        <v>2010</v>
      </c>
      <c r="W3" s="6">
        <v>2011</v>
      </c>
      <c r="X3" s="6">
        <v>2012</v>
      </c>
      <c r="Y3" s="6">
        <v>2013</v>
      </c>
      <c r="Z3" s="6">
        <v>2014</v>
      </c>
      <c r="AA3" s="6">
        <v>2015</v>
      </c>
      <c r="AB3" s="6">
        <v>2016</v>
      </c>
      <c r="AC3" s="6">
        <v>2017</v>
      </c>
      <c r="AD3" s="6">
        <v>2018</v>
      </c>
      <c r="AE3" s="6">
        <v>2019</v>
      </c>
      <c r="AF3" s="6">
        <v>2020</v>
      </c>
      <c r="AG3" s="6">
        <v>2021</v>
      </c>
    </row>
    <row r="4" spans="1:33" x14ac:dyDescent="0.35">
      <c r="A4" s="8"/>
      <c r="B4" s="9" t="s">
        <v>1</v>
      </c>
      <c r="C4" s="9" t="s">
        <v>1</v>
      </c>
      <c r="D4" s="9" t="s">
        <v>1</v>
      </c>
      <c r="E4" s="9" t="s">
        <v>1</v>
      </c>
      <c r="F4" s="9" t="s">
        <v>1</v>
      </c>
      <c r="G4" s="9" t="s">
        <v>1</v>
      </c>
      <c r="H4" s="9" t="s">
        <v>1</v>
      </c>
      <c r="I4" s="9" t="s">
        <v>1</v>
      </c>
      <c r="J4" s="9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9" t="s">
        <v>1</v>
      </c>
      <c r="U4" s="9" t="s">
        <v>1</v>
      </c>
      <c r="V4" s="9" t="s">
        <v>1</v>
      </c>
      <c r="W4" s="9" t="s">
        <v>1</v>
      </c>
      <c r="X4" s="9" t="s">
        <v>1</v>
      </c>
      <c r="Y4" s="9" t="s">
        <v>1</v>
      </c>
      <c r="Z4" s="9" t="s">
        <v>1</v>
      </c>
      <c r="AA4" s="9" t="s">
        <v>1</v>
      </c>
      <c r="AB4" s="9" t="s">
        <v>1</v>
      </c>
      <c r="AC4" s="9" t="s">
        <v>1</v>
      </c>
      <c r="AD4" s="9" t="s">
        <v>1</v>
      </c>
      <c r="AE4" s="9" t="s">
        <v>1</v>
      </c>
      <c r="AF4" s="9" t="s">
        <v>1</v>
      </c>
      <c r="AG4" s="9" t="s">
        <v>1</v>
      </c>
    </row>
    <row r="5" spans="1:33" x14ac:dyDescent="0.35">
      <c r="A5" s="1" t="s">
        <v>2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-188592.65402798599</v>
      </c>
      <c r="I5" s="2">
        <v>-194375.16556555999</v>
      </c>
      <c r="J5" s="2">
        <v>-199765.01016927199</v>
      </c>
      <c r="K5" s="2">
        <v>-206758.203071022</v>
      </c>
      <c r="L5" s="2">
        <v>-210545.32176765599</v>
      </c>
      <c r="M5" s="2">
        <v>-216026.14625817799</v>
      </c>
      <c r="N5" s="2">
        <v>-221077.51107710099</v>
      </c>
      <c r="O5" s="2">
        <v>-225104.27425094499</v>
      </c>
      <c r="P5" s="2">
        <v>-232497.41054356901</v>
      </c>
      <c r="Q5" s="2">
        <v>-237986.77365880701</v>
      </c>
      <c r="R5" s="2">
        <v>-243476.13698385499</v>
      </c>
      <c r="S5" s="2">
        <v>-248965.49949762301</v>
      </c>
      <c r="T5" s="2">
        <v>-254456.864021783</v>
      </c>
      <c r="U5" s="2">
        <v>-259946.227808011</v>
      </c>
      <c r="V5" s="2">
        <v>-265424.87803249701</v>
      </c>
      <c r="W5" s="2">
        <v>-270922.95273802499</v>
      </c>
      <c r="X5" s="2">
        <v>-276412.31599419803</v>
      </c>
      <c r="Y5" s="2">
        <v>-281901.67891922098</v>
      </c>
      <c r="Z5" s="2">
        <v>-287391.04212733201</v>
      </c>
      <c r="AA5" s="2">
        <v>-292880.405186655</v>
      </c>
      <c r="AB5" s="2">
        <v>-298612.44018715498</v>
      </c>
      <c r="AC5" s="2">
        <v>-304089.855227675</v>
      </c>
      <c r="AD5" s="2">
        <v>-308347.78498350497</v>
      </c>
      <c r="AE5" s="2">
        <v>-315044.68675732199</v>
      </c>
      <c r="AF5" s="2">
        <v>-320522.101766826</v>
      </c>
      <c r="AG5" s="2">
        <v>-323921.15167961299</v>
      </c>
    </row>
    <row r="6" spans="1:33" x14ac:dyDescent="0.35">
      <c r="A6" s="3" t="s">
        <v>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-187394.403020898</v>
      </c>
      <c r="I6" s="2">
        <v>-189008.36829769899</v>
      </c>
      <c r="J6" s="2">
        <v>-190611.055871199</v>
      </c>
      <c r="K6" s="2">
        <v>-193813.112619747</v>
      </c>
      <c r="L6" s="2">
        <v>-193816.430951688</v>
      </c>
      <c r="M6" s="2">
        <v>-195419.11882833601</v>
      </c>
      <c r="N6" s="2">
        <v>-196580.633024385</v>
      </c>
      <c r="O6" s="2">
        <v>-196720.72053733701</v>
      </c>
      <c r="P6" s="2">
        <v>-200227.18140167001</v>
      </c>
      <c r="Q6" s="2">
        <v>-201829.869048591</v>
      </c>
      <c r="R6" s="2">
        <v>-203432.55665746101</v>
      </c>
      <c r="S6" s="2">
        <v>-205035.24405283699</v>
      </c>
      <c r="T6" s="2">
        <v>-206637.93156581599</v>
      </c>
      <c r="U6" s="2">
        <v>-208240.619646217</v>
      </c>
      <c r="V6" s="2">
        <v>-209843.30708129899</v>
      </c>
      <c r="W6" s="2">
        <v>-211445.99465046299</v>
      </c>
      <c r="X6" s="2">
        <v>-213048.68233708901</v>
      </c>
      <c r="Y6" s="2">
        <v>-214651.36993505</v>
      </c>
      <c r="Z6" s="2">
        <v>-216254.057381041</v>
      </c>
      <c r="AA6" s="2">
        <v>-217856.74487071799</v>
      </c>
      <c r="AB6" s="2">
        <v>-219459.432787072</v>
      </c>
      <c r="AC6" s="2">
        <v>-221062.12008387601</v>
      </c>
      <c r="AD6" s="2">
        <v>-220321.325755506</v>
      </c>
      <c r="AE6" s="2">
        <v>-224267.495401355</v>
      </c>
      <c r="AF6" s="2">
        <v>-225870.182975679</v>
      </c>
      <c r="AG6" s="2">
        <v>-225394.504603985</v>
      </c>
    </row>
    <row r="7" spans="1:33" x14ac:dyDescent="0.35">
      <c r="A7" s="3" t="s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-184239.07016824299</v>
      </c>
      <c r="I7" s="4">
        <v>-182558.095671741</v>
      </c>
      <c r="J7" s="4">
        <v>-180935.647041588</v>
      </c>
      <c r="K7" s="4">
        <v>-180912.567374645</v>
      </c>
      <c r="L7" s="4">
        <v>-177690.74956345401</v>
      </c>
      <c r="M7" s="4">
        <v>-176068.30089194101</v>
      </c>
      <c r="N7" s="4">
        <v>-174004.67888433801</v>
      </c>
      <c r="O7" s="4">
        <v>-170920.84358586499</v>
      </c>
      <c r="P7" s="4">
        <v>-171200.954739537</v>
      </c>
      <c r="Q7" s="4">
        <v>-169578.50610773001</v>
      </c>
      <c r="R7" s="4">
        <v>-167956.05743787199</v>
      </c>
      <c r="S7" s="4">
        <v>-166333.60862959601</v>
      </c>
      <c r="T7" s="4">
        <v>-164711.15999944301</v>
      </c>
      <c r="U7" s="4">
        <v>-163088.711329585</v>
      </c>
      <c r="V7" s="4">
        <v>-161466.26252130899</v>
      </c>
      <c r="W7" s="4">
        <v>-159843.81385145101</v>
      </c>
      <c r="X7" s="4">
        <v>-158221.36521964401</v>
      </c>
      <c r="Y7" s="4">
        <v>-156598.91637331599</v>
      </c>
      <c r="Z7" s="4">
        <v>-154976.467741509</v>
      </c>
      <c r="AA7" s="4">
        <v>-153354.01906723899</v>
      </c>
      <c r="AB7" s="4">
        <v>-151731.570395727</v>
      </c>
      <c r="AC7" s="4">
        <v>-150109.12158910499</v>
      </c>
      <c r="AD7" s="4">
        <v>-146143.190805538</v>
      </c>
      <c r="AE7" s="4">
        <v>-146864.22428744001</v>
      </c>
      <c r="AF7" s="4">
        <v>-145241.775439458</v>
      </c>
      <c r="AG7" s="4">
        <v>-141540.96086411201</v>
      </c>
    </row>
    <row r="8" spans="1:33" x14ac:dyDescent="0.35">
      <c r="A8" s="3" t="s">
        <v>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-3155.3328526550399</v>
      </c>
      <c r="I8" s="2">
        <v>-6450.2726259581495</v>
      </c>
      <c r="J8" s="2">
        <v>-9675.4088296107893</v>
      </c>
      <c r="K8" s="2">
        <v>-12900.545245102199</v>
      </c>
      <c r="L8" s="2">
        <v>-16125.681388233799</v>
      </c>
      <c r="M8" s="2">
        <v>-19350.817936394698</v>
      </c>
      <c r="N8" s="2">
        <v>-22575.954140047401</v>
      </c>
      <c r="O8" s="2">
        <v>-25799.876951472299</v>
      </c>
      <c r="P8" s="2">
        <v>-29026.226662133198</v>
      </c>
      <c r="Q8" s="2">
        <v>-32251.362940860901</v>
      </c>
      <c r="R8" s="2">
        <v>-35476.499219588499</v>
      </c>
      <c r="S8" s="2">
        <v>-38701.635423241198</v>
      </c>
      <c r="T8" s="2">
        <v>-41926.771566372801</v>
      </c>
      <c r="U8" s="2">
        <v>-45151.908316631903</v>
      </c>
      <c r="V8" s="2">
        <v>-48377.0445599901</v>
      </c>
      <c r="W8" s="2">
        <v>-51602.180799012101</v>
      </c>
      <c r="X8" s="2">
        <v>-54827.317117445396</v>
      </c>
      <c r="Y8" s="2">
        <v>-58052.453561734001</v>
      </c>
      <c r="Z8" s="2">
        <v>-61277.589639531303</v>
      </c>
      <c r="AA8" s="2">
        <v>-64502.725803478301</v>
      </c>
      <c r="AB8" s="2">
        <v>-67727.862391344795</v>
      </c>
      <c r="AC8" s="2">
        <v>-70952.998494770902</v>
      </c>
      <c r="AD8" s="2">
        <v>-74178.134949967905</v>
      </c>
      <c r="AE8" s="2">
        <v>-77403.271113914903</v>
      </c>
      <c r="AF8" s="2">
        <v>-80628.407536220402</v>
      </c>
      <c r="AG8" s="2">
        <v>-83853.543739872999</v>
      </c>
    </row>
    <row r="9" spans="1:33" x14ac:dyDescent="0.35">
      <c r="A9" s="3" t="s">
        <v>6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-2831.0003988067101</v>
      </c>
      <c r="I9" s="4">
        <v>-5783.42180098888</v>
      </c>
      <c r="J9" s="4">
        <v>-8675.1328095707904</v>
      </c>
      <c r="K9" s="4">
        <v>-11566.843778447101</v>
      </c>
      <c r="L9" s="4">
        <v>-14458.554852363401</v>
      </c>
      <c r="M9" s="4">
        <v>-17350.265644770399</v>
      </c>
      <c r="N9" s="4">
        <v>-20241.9766533523</v>
      </c>
      <c r="O9" s="4">
        <v>-23133.687622228601</v>
      </c>
      <c r="P9" s="4">
        <v>-26025.398630810501</v>
      </c>
      <c r="Q9" s="4">
        <v>-28917.109423217498</v>
      </c>
      <c r="R9" s="4">
        <v>-31808.820431799399</v>
      </c>
      <c r="S9" s="4">
        <v>-34700.531400675703</v>
      </c>
      <c r="T9" s="4">
        <v>-37592.242298122699</v>
      </c>
      <c r="U9" s="4">
        <v>-40483.953469097098</v>
      </c>
      <c r="V9" s="4">
        <v>-43375.664477678998</v>
      </c>
      <c r="W9" s="4">
        <v>-46267.375446555401</v>
      </c>
      <c r="X9" s="4">
        <v>-49159.086278667899</v>
      </c>
      <c r="Y9" s="4">
        <v>-52050.7972475442</v>
      </c>
      <c r="Z9" s="4">
        <v>-54942.508256126101</v>
      </c>
      <c r="AA9" s="4">
        <v>-57834.219225002496</v>
      </c>
      <c r="AB9" s="4">
        <v>-60725.930057115002</v>
      </c>
      <c r="AC9" s="4">
        <v>-63617.641091325699</v>
      </c>
      <c r="AD9" s="4">
        <v>-66509.352099907701</v>
      </c>
      <c r="AE9" s="4">
        <v>-69401.063068784002</v>
      </c>
      <c r="AF9" s="4">
        <v>-72292.7739008965</v>
      </c>
      <c r="AG9" s="4">
        <v>-75184.484869772801</v>
      </c>
    </row>
    <row r="10" spans="1:33" x14ac:dyDescent="0.35">
      <c r="A10" s="3" t="s">
        <v>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-235.104515593933</v>
      </c>
      <c r="I10" s="4">
        <v>-487.91706690686698</v>
      </c>
      <c r="J10" s="4">
        <v>-731.87568314079999</v>
      </c>
      <c r="K10" s="4">
        <v>-975.83427057746701</v>
      </c>
      <c r="L10" s="4">
        <v>-1219.7927212504001</v>
      </c>
      <c r="M10" s="4">
        <v>-1463.75133748433</v>
      </c>
      <c r="N10" s="4">
        <v>-1707.7099537182701</v>
      </c>
      <c r="O10" s="4">
        <v>-1951.6684043912001</v>
      </c>
      <c r="P10" s="4">
        <v>-2195.6270206251302</v>
      </c>
      <c r="Q10" s="4">
        <v>-2439.5856080618</v>
      </c>
      <c r="R10" s="4">
        <v>-2683.5440587347298</v>
      </c>
      <c r="S10" s="4">
        <v>-2927.5026749686699</v>
      </c>
      <c r="T10" s="4">
        <v>-3171.4611256416001</v>
      </c>
      <c r="U10" s="4">
        <v>-3415.4197418755298</v>
      </c>
      <c r="V10" s="4">
        <v>-3659.3783581094699</v>
      </c>
      <c r="W10" s="4">
        <v>-3903.3368087824001</v>
      </c>
      <c r="X10" s="4">
        <v>-4147.2953962190704</v>
      </c>
      <c r="Y10" s="4">
        <v>-4391.2540124529996</v>
      </c>
      <c r="Z10" s="4">
        <v>-4635.2124631259303</v>
      </c>
      <c r="AA10" s="4">
        <v>-4879.1710793598704</v>
      </c>
      <c r="AB10" s="4">
        <v>-5123.1296955937996</v>
      </c>
      <c r="AC10" s="4">
        <v>-5367.0881462667303</v>
      </c>
      <c r="AD10" s="4">
        <v>-5611.0467337033997</v>
      </c>
      <c r="AE10" s="4">
        <v>-5855.0053499373298</v>
      </c>
      <c r="AF10" s="4">
        <v>-6098.9638006102696</v>
      </c>
      <c r="AG10" s="4">
        <v>-6342.9224168441997</v>
      </c>
    </row>
    <row r="11" spans="1:33" x14ac:dyDescent="0.35">
      <c r="A11" s="3" t="s">
        <v>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-10.5680447018667</v>
      </c>
      <c r="I11" s="4">
        <v>-21.366800998399999</v>
      </c>
      <c r="J11" s="4">
        <v>-32.050073557333299</v>
      </c>
      <c r="K11" s="4">
        <v>-42.733385821866698</v>
      </c>
      <c r="L11" s="4">
        <v>-53.416698086399997</v>
      </c>
      <c r="M11" s="4">
        <v>-64.1001868202667</v>
      </c>
      <c r="N11" s="4">
        <v>-74.783459379199996</v>
      </c>
      <c r="O11" s="4">
        <v>-85.466771643733296</v>
      </c>
      <c r="P11" s="4">
        <v>-96.150083908266694</v>
      </c>
      <c r="Q11" s="4">
        <v>-106.83357264213301</v>
      </c>
      <c r="R11" s="4">
        <v>-117.516845201067</v>
      </c>
      <c r="S11" s="4">
        <v>-128.2001574656</v>
      </c>
      <c r="T11" s="4">
        <v>-138.88364619946699</v>
      </c>
      <c r="U11" s="4">
        <v>-149.56695846400001</v>
      </c>
      <c r="V11" s="4">
        <v>-160.250270728533</v>
      </c>
      <c r="W11" s="4">
        <v>-170.93354328746699</v>
      </c>
      <c r="X11" s="4">
        <v>-181.61703202133299</v>
      </c>
      <c r="Y11" s="4">
        <v>-192.300344285867</v>
      </c>
      <c r="Z11" s="4">
        <v>-202.98365655040001</v>
      </c>
      <c r="AA11" s="4">
        <v>-213.66692910933301</v>
      </c>
      <c r="AB11" s="4">
        <v>-224.35041784320001</v>
      </c>
      <c r="AC11" s="4">
        <v>-235.03373010773299</v>
      </c>
      <c r="AD11" s="4">
        <v>-245.717042372267</v>
      </c>
      <c r="AE11" s="4">
        <v>-256.4003149312</v>
      </c>
      <c r="AF11" s="4">
        <v>-267.08380366506702</v>
      </c>
      <c r="AG11" s="4">
        <v>-277.76711592959998</v>
      </c>
    </row>
    <row r="12" spans="1:33" x14ac:dyDescent="0.35">
      <c r="A12" s="3" t="s">
        <v>9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-78.659893552533305</v>
      </c>
      <c r="I12" s="4">
        <v>-157.56695706400001</v>
      </c>
      <c r="J12" s="4">
        <v>-236.35026334186699</v>
      </c>
      <c r="K12" s="4">
        <v>-315.13381025573301</v>
      </c>
      <c r="L12" s="4">
        <v>-393.91711653359999</v>
      </c>
      <c r="M12" s="4">
        <v>-472.70076731973302</v>
      </c>
      <c r="N12" s="4">
        <v>-551.48407359759995</v>
      </c>
      <c r="O12" s="4">
        <v>-629.05415320880002</v>
      </c>
      <c r="P12" s="4">
        <v>-709.05092678933295</v>
      </c>
      <c r="Q12" s="4">
        <v>-787.83433693946699</v>
      </c>
      <c r="R12" s="4">
        <v>-866.61788385333296</v>
      </c>
      <c r="S12" s="4">
        <v>-945.4011901312</v>
      </c>
      <c r="T12" s="4">
        <v>-1024.1844964090701</v>
      </c>
      <c r="U12" s="4">
        <v>-1102.9681471951999</v>
      </c>
      <c r="V12" s="4">
        <v>-1181.7514534730699</v>
      </c>
      <c r="W12" s="4">
        <v>-1260.5350003869301</v>
      </c>
      <c r="X12" s="4">
        <v>-1339.3184105370699</v>
      </c>
      <c r="Y12" s="4">
        <v>-1418.1019574509301</v>
      </c>
      <c r="Z12" s="4">
        <v>-1496.8852637288001</v>
      </c>
      <c r="AA12" s="4">
        <v>-1575.6685700066701</v>
      </c>
      <c r="AB12" s="4">
        <v>-1654.4522207928001</v>
      </c>
      <c r="AC12" s="4">
        <v>-1733.2355270706701</v>
      </c>
      <c r="AD12" s="4">
        <v>-1812.01907398453</v>
      </c>
      <c r="AE12" s="4">
        <v>-1890.8023802624</v>
      </c>
      <c r="AF12" s="4">
        <v>-1969.58603104853</v>
      </c>
      <c r="AG12" s="4">
        <v>-2048.3693373264</v>
      </c>
    </row>
    <row r="13" spans="1:33" x14ac:dyDescent="0.35">
      <c r="A13" s="3" t="s">
        <v>10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25208.847398642702</v>
      </c>
      <c r="I13" s="2">
        <v>24339.644305422</v>
      </c>
      <c r="J13" s="2">
        <v>23439.336118474701</v>
      </c>
      <c r="K13" s="2">
        <v>22539.070547985299</v>
      </c>
      <c r="L13" s="2">
        <v>21633.441297907499</v>
      </c>
      <c r="M13" s="2">
        <v>20738.539718229498</v>
      </c>
      <c r="N13" s="2">
        <v>19838.274206591199</v>
      </c>
      <c r="O13" s="2">
        <v>18938.008671135602</v>
      </c>
      <c r="P13" s="2">
        <v>18037.743394435402</v>
      </c>
      <c r="Q13" s="2">
        <v>17137.477806346</v>
      </c>
      <c r="R13" s="2">
        <v>16237.2123553703</v>
      </c>
      <c r="S13" s="2">
        <v>15336.947117207999</v>
      </c>
      <c r="T13" s="2">
        <v>14434.6805039924</v>
      </c>
      <c r="U13" s="2">
        <v>13534.414851736199</v>
      </c>
      <c r="V13" s="2">
        <v>12644.8620437881</v>
      </c>
      <c r="W13" s="2">
        <v>11735.885071398299</v>
      </c>
      <c r="X13" s="2">
        <v>10835.619483308899</v>
      </c>
      <c r="Y13" s="2">
        <v>9935.3542066086902</v>
      </c>
      <c r="Z13" s="2">
        <v>9035.0886711530493</v>
      </c>
      <c r="AA13" s="2">
        <v>8134.8231595147899</v>
      </c>
      <c r="AB13" s="2">
        <v>7234.5753581674799</v>
      </c>
      <c r="AC13" s="2">
        <v>6334.31099983898</v>
      </c>
      <c r="AD13" s="2">
        <v>4310.0501635788696</v>
      </c>
      <c r="AE13" s="2">
        <v>4533.7815944022204</v>
      </c>
      <c r="AF13" s="2">
        <v>3633.5172570115801</v>
      </c>
      <c r="AG13" s="2">
        <v>2733.2524927842701</v>
      </c>
    </row>
    <row r="14" spans="1:33" x14ac:dyDescent="0.35">
      <c r="A14" s="3" t="s">
        <v>11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24975.4733486849</v>
      </c>
      <c r="I14" s="4">
        <v>23810.534388918601</v>
      </c>
      <c r="J14" s="4">
        <v>22645.735404483599</v>
      </c>
      <c r="K14" s="4">
        <v>21480.936335568502</v>
      </c>
      <c r="L14" s="4">
        <v>20310.681806659701</v>
      </c>
      <c r="M14" s="4">
        <v>19151.3382902472</v>
      </c>
      <c r="N14" s="4">
        <v>17986.5392801833</v>
      </c>
      <c r="O14" s="4">
        <v>16821.740211268199</v>
      </c>
      <c r="P14" s="4">
        <v>15656.9412524619</v>
      </c>
      <c r="Q14" s="4">
        <v>14492.1421659469</v>
      </c>
      <c r="R14" s="4">
        <v>13327.3431815118</v>
      </c>
      <c r="S14" s="4">
        <v>12162.544222705499</v>
      </c>
      <c r="T14" s="4">
        <v>10995.744244990399</v>
      </c>
      <c r="U14" s="4">
        <v>9830.9451584753606</v>
      </c>
      <c r="V14" s="4">
        <v>8668.1471084691002</v>
      </c>
      <c r="W14" s="4">
        <v>7503.3481240340298</v>
      </c>
      <c r="X14" s="4">
        <v>6338.5490375189502</v>
      </c>
      <c r="Y14" s="4">
        <v>5173.7500787126901</v>
      </c>
      <c r="Z14" s="4">
        <v>4008.9510097976099</v>
      </c>
      <c r="AA14" s="4">
        <v>2844.15199973373</v>
      </c>
      <c r="AB14" s="4">
        <v>1679.35291321866</v>
      </c>
      <c r="AC14" s="4">
        <v>514.55395441238898</v>
      </c>
      <c r="AD14" s="4">
        <v>-1774.2412250733501</v>
      </c>
      <c r="AE14" s="4">
        <v>-1815.0440989377601</v>
      </c>
      <c r="AF14" s="4">
        <v>-2979.8430753440298</v>
      </c>
      <c r="AG14" s="4">
        <v>-4144.6421442591</v>
      </c>
    </row>
    <row r="15" spans="1:33" x14ac:dyDescent="0.35">
      <c r="A15" s="3" t="s">
        <v>12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233.374049957767</v>
      </c>
      <c r="I15" s="2">
        <v>529.10991650339201</v>
      </c>
      <c r="J15" s="2">
        <v>793.60071399115805</v>
      </c>
      <c r="K15" s="2">
        <v>1058.13421241678</v>
      </c>
      <c r="L15" s="2">
        <v>1322.7594912478801</v>
      </c>
      <c r="M15" s="2">
        <v>1587.20142798232</v>
      </c>
      <c r="N15" s="2">
        <v>1851.7349264079401</v>
      </c>
      <c r="O15" s="2">
        <v>2116.26845986737</v>
      </c>
      <c r="P15" s="2">
        <v>2380.80214197347</v>
      </c>
      <c r="Q15" s="2">
        <v>2645.3356403991002</v>
      </c>
      <c r="R15" s="2">
        <v>2909.8691738585298</v>
      </c>
      <c r="S15" s="2">
        <v>3174.4028945024902</v>
      </c>
      <c r="T15" s="2">
        <v>3438.93625900192</v>
      </c>
      <c r="U15" s="2">
        <v>3703.4696932608799</v>
      </c>
      <c r="V15" s="2">
        <v>3976.7149353189502</v>
      </c>
      <c r="W15" s="2">
        <v>4232.5369473642704</v>
      </c>
      <c r="X15" s="2">
        <v>4497.0704457899001</v>
      </c>
      <c r="Y15" s="2">
        <v>4761.6041278960001</v>
      </c>
      <c r="Z15" s="2">
        <v>5026.1376613554303</v>
      </c>
      <c r="AA15" s="2">
        <v>5290.6711597810599</v>
      </c>
      <c r="AB15" s="2">
        <v>5555.2224449488203</v>
      </c>
      <c r="AC15" s="2">
        <v>5819.7570454265897</v>
      </c>
      <c r="AD15" s="2">
        <v>6084.2913886522101</v>
      </c>
      <c r="AE15" s="2">
        <v>6348.8256933399798</v>
      </c>
      <c r="AF15" s="2">
        <v>6613.3603323556099</v>
      </c>
      <c r="AG15" s="2">
        <v>6877.8946370433696</v>
      </c>
    </row>
    <row r="16" spans="1:33" x14ac:dyDescent="0.35">
      <c r="A16" s="3" t="s">
        <v>13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230.42443822924201</v>
      </c>
      <c r="I16" s="4">
        <v>459.50758749848302</v>
      </c>
      <c r="J16" s="4">
        <v>689.26133900772504</v>
      </c>
      <c r="K16" s="4">
        <v>919.01509051696701</v>
      </c>
      <c r="L16" s="4">
        <v>1148.7689265062099</v>
      </c>
      <c r="M16" s="4">
        <v>1378.5226780154501</v>
      </c>
      <c r="N16" s="4">
        <v>1608.27642952469</v>
      </c>
      <c r="O16" s="4">
        <v>1838.0302655139301</v>
      </c>
      <c r="P16" s="4">
        <v>2067.7840170231698</v>
      </c>
      <c r="Q16" s="4">
        <v>2297.5377685324202</v>
      </c>
      <c r="R16" s="4">
        <v>2527.2916045216598</v>
      </c>
      <c r="S16" s="4">
        <v>2757.0453560309002</v>
      </c>
      <c r="T16" s="4">
        <v>2986.7990230601399</v>
      </c>
      <c r="U16" s="4">
        <v>3216.5528334205701</v>
      </c>
      <c r="V16" s="4">
        <v>3446.30658492982</v>
      </c>
      <c r="W16" s="4">
        <v>3676.0604209190601</v>
      </c>
      <c r="X16" s="4">
        <v>3905.8141724283</v>
      </c>
      <c r="Y16" s="4">
        <v>4135.5679239375404</v>
      </c>
      <c r="Z16" s="4">
        <v>4365.32175992678</v>
      </c>
      <c r="AA16" s="4">
        <v>4595.07551143602</v>
      </c>
      <c r="AB16" s="4">
        <v>4824.8470882252705</v>
      </c>
      <c r="AC16" s="4">
        <v>5054.60176901451</v>
      </c>
      <c r="AD16" s="4">
        <v>5284.3563653237497</v>
      </c>
      <c r="AE16" s="4">
        <v>5514.1109616329904</v>
      </c>
      <c r="AF16" s="4">
        <v>5743.8656424222299</v>
      </c>
      <c r="AG16" s="4">
        <v>5973.6202387314697</v>
      </c>
    </row>
    <row r="17" spans="1:33" x14ac:dyDescent="0.35">
      <c r="A17" s="3" t="s">
        <v>14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9.0070634204833198</v>
      </c>
      <c r="I17" s="4">
        <v>81.796346295491603</v>
      </c>
      <c r="J17" s="4">
        <v>122.69450092597501</v>
      </c>
      <c r="K17" s="4">
        <v>163.592655556458</v>
      </c>
      <c r="L17" s="4">
        <v>204.58237037480001</v>
      </c>
      <c r="M17" s="4">
        <v>245.38900185195001</v>
      </c>
      <c r="N17" s="4">
        <v>286.28715648243298</v>
      </c>
      <c r="O17" s="4">
        <v>327.185274575775</v>
      </c>
      <c r="P17" s="4">
        <v>368.08350277792499</v>
      </c>
      <c r="Q17" s="4">
        <v>408.98165740840801</v>
      </c>
      <c r="R17" s="4">
        <v>449.87977550174998</v>
      </c>
      <c r="S17" s="4">
        <v>490.77800370390003</v>
      </c>
      <c r="T17" s="4">
        <v>531.67612179724097</v>
      </c>
      <c r="U17" s="4">
        <v>572.57427642772495</v>
      </c>
      <c r="V17" s="4">
        <v>613.47250462987495</v>
      </c>
      <c r="W17" s="4">
        <v>654.370622723216</v>
      </c>
      <c r="X17" s="4">
        <v>695.26877735369999</v>
      </c>
      <c r="Y17" s="4">
        <v>736.16700555584998</v>
      </c>
      <c r="Z17" s="4">
        <v>777.06512364919104</v>
      </c>
      <c r="AA17" s="4">
        <v>817.96327827967502</v>
      </c>
      <c r="AB17" s="4">
        <v>858.86143291015799</v>
      </c>
      <c r="AC17" s="4">
        <v>899.75962457516596</v>
      </c>
      <c r="AD17" s="4">
        <v>940.65777920564994</v>
      </c>
      <c r="AE17" s="4">
        <v>981.55593383613302</v>
      </c>
      <c r="AF17" s="4">
        <v>1022.45412550114</v>
      </c>
      <c r="AG17" s="4">
        <v>1063.3522801316201</v>
      </c>
    </row>
    <row r="18" spans="1:33" x14ac:dyDescent="0.35">
      <c r="A18" s="3" t="s">
        <v>15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2.670342426675</v>
      </c>
      <c r="I18" s="4">
        <v>5.2614682421583296</v>
      </c>
      <c r="J18" s="4">
        <v>7.89218954883333</v>
      </c>
      <c r="K18" s="4">
        <v>10.5229108555083</v>
      </c>
      <c r="L18" s="4">
        <v>13.1536577909917</v>
      </c>
      <c r="M18" s="4">
        <v>15.784379097666701</v>
      </c>
      <c r="N18" s="4">
        <v>18.4151004043417</v>
      </c>
      <c r="O18" s="4">
        <v>21.045847339824999</v>
      </c>
      <c r="P18" s="4">
        <v>23.676568646500002</v>
      </c>
      <c r="Q18" s="4">
        <v>26.307289953175001</v>
      </c>
      <c r="R18" s="4">
        <v>28.938036888658299</v>
      </c>
      <c r="S18" s="4">
        <v>31.568758195333299</v>
      </c>
      <c r="T18" s="4">
        <v>34.199505130816597</v>
      </c>
      <c r="U18" s="4">
        <v>36.830141957491698</v>
      </c>
      <c r="V18" s="4">
        <v>39.460863264166697</v>
      </c>
      <c r="W18" s="4">
        <v>42.091610199649999</v>
      </c>
      <c r="X18" s="4">
        <v>44.722331506324998</v>
      </c>
      <c r="Y18" s="4">
        <v>47.353052812999998</v>
      </c>
      <c r="Z18" s="4">
        <v>49.9837997484833</v>
      </c>
      <c r="AA18" s="4">
        <v>52.614521055158299</v>
      </c>
      <c r="AB18" s="4">
        <v>55.245242361833299</v>
      </c>
      <c r="AC18" s="4">
        <v>57.8759892973167</v>
      </c>
      <c r="AD18" s="4">
        <v>60.506710603991699</v>
      </c>
      <c r="AE18" s="4">
        <v>63.137431910666599</v>
      </c>
      <c r="AF18" s="4">
        <v>65.768178846149993</v>
      </c>
      <c r="AG18" s="4">
        <v>68.398900152824993</v>
      </c>
    </row>
    <row r="19" spans="1:33" x14ac:dyDescent="0.35">
      <c r="A19" s="3" t="s">
        <v>16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-8.7277941186333301</v>
      </c>
      <c r="I19" s="4">
        <v>-17.455485532741701</v>
      </c>
      <c r="J19" s="4">
        <v>-26.247315491375002</v>
      </c>
      <c r="K19" s="4">
        <v>-34.996444512149999</v>
      </c>
      <c r="L19" s="4">
        <v>-43.7454634241167</v>
      </c>
      <c r="M19" s="4">
        <v>-52.494630982750003</v>
      </c>
      <c r="N19" s="4">
        <v>-61.243760003524997</v>
      </c>
      <c r="O19" s="4">
        <v>-69.9929275621584</v>
      </c>
      <c r="P19" s="4">
        <v>-78.741946474125001</v>
      </c>
      <c r="Q19" s="4">
        <v>-87.491075494900002</v>
      </c>
      <c r="R19" s="4">
        <v>-96.240243053533305</v>
      </c>
      <c r="S19" s="4">
        <v>-104.989223427642</v>
      </c>
      <c r="T19" s="4">
        <v>-113.73839098627499</v>
      </c>
      <c r="U19" s="4">
        <v>-122.487558544908</v>
      </c>
      <c r="V19" s="4">
        <v>-122.52501750490801</v>
      </c>
      <c r="W19" s="4">
        <v>-139.98570647765001</v>
      </c>
      <c r="X19" s="4">
        <v>-148.73483549842501</v>
      </c>
      <c r="Y19" s="4">
        <v>-157.48385441039201</v>
      </c>
      <c r="Z19" s="4">
        <v>-166.233021969025</v>
      </c>
      <c r="AA19" s="4">
        <v>-174.9821509898</v>
      </c>
      <c r="AB19" s="4">
        <v>-183.73131854843299</v>
      </c>
      <c r="AC19" s="4">
        <v>-192.48033746039999</v>
      </c>
      <c r="AD19" s="4">
        <v>-201.229466481175</v>
      </c>
      <c r="AE19" s="4">
        <v>-209.97863403980799</v>
      </c>
      <c r="AF19" s="4">
        <v>-218.727614413917</v>
      </c>
      <c r="AG19" s="4">
        <v>-227.47678197254999</v>
      </c>
    </row>
    <row r="20" spans="1:33" x14ac:dyDescent="0.35">
      <c r="A20" s="3" t="s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-26980.696261439702</v>
      </c>
      <c r="I20" s="2">
        <v>-30046.023574893901</v>
      </c>
      <c r="J20" s="2">
        <v>-33101.075408784302</v>
      </c>
      <c r="K20" s="2">
        <v>-36160.149936868103</v>
      </c>
      <c r="L20" s="2">
        <v>-39219.224642422603</v>
      </c>
      <c r="M20" s="2">
        <v>-42278.299095431401</v>
      </c>
      <c r="N20" s="2">
        <v>-45337.373724743098</v>
      </c>
      <c r="O20" s="2">
        <v>-48396.4482528269</v>
      </c>
      <c r="P20" s="2">
        <v>-51455.522882138597</v>
      </c>
      <c r="Q20" s="2">
        <v>-54514.597335147497</v>
      </c>
      <c r="R20" s="2">
        <v>-57573.671964459201</v>
      </c>
      <c r="S20" s="2">
        <v>-60632.746492543003</v>
      </c>
      <c r="T20" s="2">
        <v>-63691.821123022499</v>
      </c>
      <c r="U20" s="2">
        <v>-66750.895651106301</v>
      </c>
      <c r="V20" s="2">
        <v>-69809.970280417998</v>
      </c>
      <c r="W20" s="2">
        <v>-72869.044808501902</v>
      </c>
      <c r="X20" s="2">
        <v>-75928.119362738595</v>
      </c>
      <c r="Y20" s="2">
        <v>-78987.193890822396</v>
      </c>
      <c r="Z20" s="2">
        <v>-82046.268520134094</v>
      </c>
      <c r="AA20" s="2">
        <v>-85105.343048217997</v>
      </c>
      <c r="AB20" s="2">
        <v>-88164.417602454705</v>
      </c>
      <c r="AC20" s="2">
        <v>-91223.4922067812</v>
      </c>
      <c r="AD20" s="2">
        <v>-94282.566836092999</v>
      </c>
      <c r="AE20" s="2">
        <v>-97341.641364176801</v>
      </c>
      <c r="AF20" s="2">
        <v>-100400.715918414</v>
      </c>
      <c r="AG20" s="2">
        <v>-103459.79044649701</v>
      </c>
    </row>
    <row r="21" spans="1:33" x14ac:dyDescent="0.35">
      <c r="A21" s="3" t="s">
        <v>18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-23577.302570342399</v>
      </c>
      <c r="I21" s="4">
        <v>-23230.753443532802</v>
      </c>
      <c r="J21" s="4">
        <v>-22884.2043167232</v>
      </c>
      <c r="K21" s="4">
        <v>-22537.655189913599</v>
      </c>
      <c r="L21" s="4">
        <v>-22191.106063104002</v>
      </c>
      <c r="M21" s="4">
        <v>-21844.556936294401</v>
      </c>
      <c r="N21" s="4">
        <v>-21498.0078094848</v>
      </c>
      <c r="O21" s="4">
        <v>-21151.458682675198</v>
      </c>
      <c r="P21" s="4">
        <v>-20804.909555865601</v>
      </c>
      <c r="Q21" s="4">
        <v>-20458.360429056</v>
      </c>
      <c r="R21" s="4">
        <v>-20111.811302246399</v>
      </c>
      <c r="S21" s="4">
        <v>-19765.262175436801</v>
      </c>
      <c r="T21" s="4">
        <v>-19418.7130486272</v>
      </c>
      <c r="U21" s="4">
        <v>-19072.163921817599</v>
      </c>
      <c r="V21" s="4">
        <v>-18725.614795008001</v>
      </c>
      <c r="W21" s="4">
        <v>-18379.0656681984</v>
      </c>
      <c r="X21" s="4">
        <v>-18032.516541388799</v>
      </c>
      <c r="Y21" s="4">
        <v>-17685.967414579201</v>
      </c>
      <c r="Z21" s="4">
        <v>-17339.4182877696</v>
      </c>
      <c r="AA21" s="4">
        <v>-16992.869160959999</v>
      </c>
      <c r="AB21" s="4">
        <v>-16646.320034150402</v>
      </c>
      <c r="AC21" s="4">
        <v>-16299.7709073408</v>
      </c>
      <c r="AD21" s="4">
        <v>-15953.221780531199</v>
      </c>
      <c r="AE21" s="4">
        <v>-15606.6726537216</v>
      </c>
      <c r="AF21" s="4">
        <v>-15260.123526912001</v>
      </c>
      <c r="AG21" s="4">
        <v>-14913.5744001024</v>
      </c>
    </row>
    <row r="22" spans="1:33" x14ac:dyDescent="0.35">
      <c r="A22" s="3" t="s">
        <v>19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-3403.3936910973098</v>
      </c>
      <c r="I22" s="2">
        <v>-6815.2701313610796</v>
      </c>
      <c r="J22" s="2">
        <v>-10216.871092061099</v>
      </c>
      <c r="K22" s="2">
        <v>-13622.4947469545</v>
      </c>
      <c r="L22" s="2">
        <v>-17028.1185793185</v>
      </c>
      <c r="M22" s="2">
        <v>-20433.742159137</v>
      </c>
      <c r="N22" s="2">
        <v>-23839.365915258299</v>
      </c>
      <c r="O22" s="2">
        <v>-27244.989570151702</v>
      </c>
      <c r="P22" s="2">
        <v>-30650.613326273</v>
      </c>
      <c r="Q22" s="2">
        <v>-34056.236906091501</v>
      </c>
      <c r="R22" s="2">
        <v>-37461.860662212799</v>
      </c>
      <c r="S22" s="2">
        <v>-40867.484317106202</v>
      </c>
      <c r="T22" s="2">
        <v>-44273.108074395299</v>
      </c>
      <c r="U22" s="2">
        <v>-47678.731729288702</v>
      </c>
      <c r="V22" s="2">
        <v>-51084.35548541</v>
      </c>
      <c r="W22" s="2">
        <v>-54489.979140303498</v>
      </c>
      <c r="X22" s="2">
        <v>-57895.602821349799</v>
      </c>
      <c r="Y22" s="2">
        <v>-61301.226476243202</v>
      </c>
      <c r="Z22" s="2">
        <v>-64706.850232364501</v>
      </c>
      <c r="AA22" s="2">
        <v>-68112.473887258006</v>
      </c>
      <c r="AB22" s="2">
        <v>-71518.097568304307</v>
      </c>
      <c r="AC22" s="2">
        <v>-74923.721299440498</v>
      </c>
      <c r="AD22" s="2">
        <v>-78329.345055561804</v>
      </c>
      <c r="AE22" s="2">
        <v>-81734.968710455199</v>
      </c>
      <c r="AF22" s="2">
        <v>-85140.592391501501</v>
      </c>
      <c r="AG22" s="2">
        <v>-88546.216046394999</v>
      </c>
    </row>
    <row r="23" spans="1:33" x14ac:dyDescent="0.35">
      <c r="A23" s="3" t="s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-1529.8845714753299</v>
      </c>
      <c r="I23" s="4">
        <v>-3064.2291717707999</v>
      </c>
      <c r="J23" s="4">
        <v>-4596.3438082701296</v>
      </c>
      <c r="K23" s="4">
        <v>-6128.4583435415998</v>
      </c>
      <c r="L23" s="4">
        <v>-7660.5729800409299</v>
      </c>
      <c r="M23" s="4">
        <v>-9192.6875153124001</v>
      </c>
      <c r="N23" s="4">
        <v>-10724.8021518117</v>
      </c>
      <c r="O23" s="4">
        <v>-12256.9166870832</v>
      </c>
      <c r="P23" s="4">
        <v>-13789.0313235825</v>
      </c>
      <c r="Q23" s="4">
        <v>-15321.145858854001</v>
      </c>
      <c r="R23" s="4">
        <v>-16853.260495353301</v>
      </c>
      <c r="S23" s="4">
        <v>-18385.3750306248</v>
      </c>
      <c r="T23" s="4">
        <v>-19917.4896671241</v>
      </c>
      <c r="U23" s="4">
        <v>-21449.6042023956</v>
      </c>
      <c r="V23" s="4">
        <v>-22981.7188388949</v>
      </c>
      <c r="W23" s="4">
        <v>-24513.833374166399</v>
      </c>
      <c r="X23" s="4">
        <v>-26045.948010665699</v>
      </c>
      <c r="Y23" s="4">
        <v>-27578.062545937199</v>
      </c>
      <c r="Z23" s="4">
        <v>-29110.177182436499</v>
      </c>
      <c r="AA23" s="4">
        <v>-30642.291717708002</v>
      </c>
      <c r="AB23" s="4">
        <v>-32174.406354207302</v>
      </c>
      <c r="AC23" s="4">
        <v>-33706.520889478801</v>
      </c>
      <c r="AD23" s="4">
        <v>-35238.635525978098</v>
      </c>
      <c r="AE23" s="4">
        <v>-36770.750061249601</v>
      </c>
      <c r="AF23" s="4">
        <v>-38302.864697748897</v>
      </c>
      <c r="AG23" s="4">
        <v>-39834.9792330204</v>
      </c>
    </row>
    <row r="24" spans="1:33" x14ac:dyDescent="0.35">
      <c r="A24" s="3" t="s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-1835.8724349143699</v>
      </c>
      <c r="I24" s="4">
        <v>-3675.76761463615</v>
      </c>
      <c r="J24" s="4">
        <v>-5507.6172541291899</v>
      </c>
      <c r="K24" s="4">
        <v>-7343.4896890435602</v>
      </c>
      <c r="L24" s="4">
        <v>-9179.3621495867501</v>
      </c>
      <c r="M24" s="4">
        <v>-11015.2345845011</v>
      </c>
      <c r="N24" s="4">
        <v>-12851.1070194155</v>
      </c>
      <c r="O24" s="4">
        <v>-14686.979403715901</v>
      </c>
      <c r="P24" s="4">
        <v>-16522.8518386303</v>
      </c>
      <c r="Q24" s="4">
        <v>-18358.7242735447</v>
      </c>
      <c r="R24" s="4">
        <v>-20194.596657845101</v>
      </c>
      <c r="S24" s="4">
        <v>-22030.4690927595</v>
      </c>
      <c r="T24" s="4">
        <v>-23866.3415533027</v>
      </c>
      <c r="U24" s="4">
        <v>-25702.2139882171</v>
      </c>
      <c r="V24" s="4">
        <v>-27538.086423131401</v>
      </c>
      <c r="W24" s="4">
        <v>-29373.9588074319</v>
      </c>
      <c r="X24" s="4">
        <v>-31209.831242346201</v>
      </c>
      <c r="Y24" s="4">
        <v>-33045.703677260601</v>
      </c>
      <c r="Z24" s="4">
        <v>-34881.5760615611</v>
      </c>
      <c r="AA24" s="4">
        <v>-36717.448496475503</v>
      </c>
      <c r="AB24" s="4">
        <v>-38553.320931389797</v>
      </c>
      <c r="AC24" s="4">
        <v>-40389.193391932997</v>
      </c>
      <c r="AD24" s="4">
        <v>-42225.0658268474</v>
      </c>
      <c r="AE24" s="4">
        <v>-44060.938261761803</v>
      </c>
      <c r="AF24" s="4">
        <v>-45896.8106460622</v>
      </c>
      <c r="AG24" s="4">
        <v>-47732.683080976603</v>
      </c>
    </row>
    <row r="25" spans="1:33" x14ac:dyDescent="0.35">
      <c r="A25" s="3" t="s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-5.9304851826</v>
      </c>
      <c r="I25" s="4">
        <v>-11.861020979133301</v>
      </c>
      <c r="J25" s="4">
        <v>-17.791506161733299</v>
      </c>
      <c r="K25" s="4">
        <v>-23.721991344333301</v>
      </c>
      <c r="L25" s="4">
        <v>-29.652527140866699</v>
      </c>
      <c r="M25" s="4">
        <v>-35.583012323466697</v>
      </c>
      <c r="N25" s="4">
        <v>-41.513497506066699</v>
      </c>
      <c r="O25" s="4">
        <v>-47.444033302599998</v>
      </c>
      <c r="P25" s="4">
        <v>-53.374518485199999</v>
      </c>
      <c r="Q25" s="4">
        <v>-59.305003667800001</v>
      </c>
      <c r="R25" s="4">
        <v>-65.2355394643333</v>
      </c>
      <c r="S25" s="4">
        <v>-71.166024646933295</v>
      </c>
      <c r="T25" s="4">
        <v>-77.0965604434667</v>
      </c>
      <c r="U25" s="4">
        <v>-83.027045626066695</v>
      </c>
      <c r="V25" s="4">
        <v>-88.957530808666704</v>
      </c>
      <c r="W25" s="4">
        <v>-94.888066605199995</v>
      </c>
      <c r="X25" s="4">
        <v>-100.8185517878</v>
      </c>
      <c r="Y25" s="4">
        <v>-106.7490369704</v>
      </c>
      <c r="Z25" s="4">
        <v>-112.67957276693301</v>
      </c>
      <c r="AA25" s="4">
        <v>-118.610057949533</v>
      </c>
      <c r="AB25" s="4">
        <v>-124.540543132133</v>
      </c>
      <c r="AC25" s="4">
        <v>-130.471078928667</v>
      </c>
      <c r="AD25" s="4">
        <v>-136.40156411126699</v>
      </c>
      <c r="AE25" s="4">
        <v>-142.33204929386699</v>
      </c>
      <c r="AF25" s="4">
        <v>-148.26258509039999</v>
      </c>
      <c r="AG25" s="4">
        <v>-154.19307027299999</v>
      </c>
    </row>
    <row r="26" spans="1:33" x14ac:dyDescent="0.35">
      <c r="A26" s="3" t="s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-31.706199524999999</v>
      </c>
      <c r="I26" s="4">
        <v>-63.412323975</v>
      </c>
      <c r="J26" s="4">
        <v>-95.118523499999995</v>
      </c>
      <c r="K26" s="4">
        <v>-126.824723025</v>
      </c>
      <c r="L26" s="4">
        <v>-158.53092255000001</v>
      </c>
      <c r="M26" s="4">
        <v>-190.23704699999999</v>
      </c>
      <c r="N26" s="4">
        <v>-221.94324652500001</v>
      </c>
      <c r="O26" s="4">
        <v>-253.64944604999999</v>
      </c>
      <c r="P26" s="4">
        <v>-285.35564557499998</v>
      </c>
      <c r="Q26" s="4">
        <v>-317.06177002499999</v>
      </c>
      <c r="R26" s="4">
        <v>-348.76796954999998</v>
      </c>
      <c r="S26" s="4">
        <v>-380.47416907500002</v>
      </c>
      <c r="T26" s="4">
        <v>-412.18029352500002</v>
      </c>
      <c r="U26" s="4">
        <v>-443.88649305000001</v>
      </c>
      <c r="V26" s="4">
        <v>-475.592692575</v>
      </c>
      <c r="W26" s="4">
        <v>-507.29889209999999</v>
      </c>
      <c r="X26" s="4">
        <v>-539.00501655000005</v>
      </c>
      <c r="Y26" s="4">
        <v>-570.71121607500004</v>
      </c>
      <c r="Z26" s="4">
        <v>-602.41741560000003</v>
      </c>
      <c r="AA26" s="4">
        <v>-634.12361512500001</v>
      </c>
      <c r="AB26" s="4">
        <v>-665.82973957499996</v>
      </c>
      <c r="AC26" s="4">
        <v>-697.53593909999995</v>
      </c>
      <c r="AD26" s="4">
        <v>-729.24213862500005</v>
      </c>
      <c r="AE26" s="4">
        <v>-760.94833815000004</v>
      </c>
      <c r="AF26" s="4">
        <v>-792.65446259999999</v>
      </c>
      <c r="AG26" s="4">
        <v>-824.36066212499998</v>
      </c>
    </row>
    <row r="27" spans="1:33" x14ac:dyDescent="0.35">
      <c r="A27" s="3" t="s">
        <v>24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40.260308548899999</v>
      </c>
      <c r="I27" s="2">
        <v>100.80111014013301</v>
      </c>
      <c r="J27" s="2">
        <v>151.20157468936699</v>
      </c>
      <c r="K27" s="2">
        <v>201.60220937193299</v>
      </c>
      <c r="L27" s="2">
        <v>252.00275669616701</v>
      </c>
      <c r="M27" s="2">
        <v>302.4032212454</v>
      </c>
      <c r="N27" s="2">
        <v>352.80385592796699</v>
      </c>
      <c r="O27" s="2">
        <v>403.20432047719999</v>
      </c>
      <c r="P27" s="2">
        <v>453.60479593476703</v>
      </c>
      <c r="Q27" s="2">
        <v>504.00543061733299</v>
      </c>
      <c r="R27" s="2">
        <v>554.40589516656701</v>
      </c>
      <c r="S27" s="2">
        <v>604.80654075746702</v>
      </c>
      <c r="T27" s="2">
        <v>655.20689934003303</v>
      </c>
      <c r="U27" s="2">
        <v>705.60743575593301</v>
      </c>
      <c r="V27" s="2">
        <v>756.00808134683302</v>
      </c>
      <c r="W27" s="2">
        <v>806.40854589606704</v>
      </c>
      <c r="X27" s="2">
        <v>856.809180578633</v>
      </c>
      <c r="Y27" s="2">
        <v>907.20965603620004</v>
      </c>
      <c r="Z27" s="2">
        <v>957.61012058543304</v>
      </c>
      <c r="AA27" s="2">
        <v>1008.010755268</v>
      </c>
      <c r="AB27" s="2">
        <v>1058.4112198172299</v>
      </c>
      <c r="AC27" s="2">
        <v>1108.81176714147</v>
      </c>
      <c r="AD27" s="2">
        <v>1159.2124018240299</v>
      </c>
      <c r="AE27" s="2">
        <v>1209.61286637327</v>
      </c>
      <c r="AF27" s="2">
        <v>1260.01351196417</v>
      </c>
      <c r="AG27" s="2">
        <v>1310.4139765134</v>
      </c>
    </row>
    <row r="28" spans="1:33" x14ac:dyDescent="0.35">
      <c r="A28" s="3" t="s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40.260308548899999</v>
      </c>
      <c r="I28" s="2">
        <v>100.80111014013301</v>
      </c>
      <c r="J28" s="2">
        <v>151.20157468936699</v>
      </c>
      <c r="K28" s="2">
        <v>201.60220937193299</v>
      </c>
      <c r="L28" s="2">
        <v>252.00275669616701</v>
      </c>
      <c r="M28" s="2">
        <v>302.4032212454</v>
      </c>
      <c r="N28" s="2">
        <v>352.80385592796699</v>
      </c>
      <c r="O28" s="2">
        <v>403.20432047719999</v>
      </c>
      <c r="P28" s="2">
        <v>453.60479593476703</v>
      </c>
      <c r="Q28" s="2">
        <v>504.00543061733299</v>
      </c>
      <c r="R28" s="2">
        <v>554.40589516656701</v>
      </c>
      <c r="S28" s="2">
        <v>604.80654075746702</v>
      </c>
      <c r="T28" s="2">
        <v>655.20689934003303</v>
      </c>
      <c r="U28" s="2">
        <v>705.60743575593301</v>
      </c>
      <c r="V28" s="2">
        <v>756.00808134683302</v>
      </c>
      <c r="W28" s="2">
        <v>806.40854589606704</v>
      </c>
      <c r="X28" s="2">
        <v>856.809180578633</v>
      </c>
      <c r="Y28" s="2">
        <v>907.20965603620004</v>
      </c>
      <c r="Z28" s="2">
        <v>957.61012058543304</v>
      </c>
      <c r="AA28" s="2">
        <v>1008.010755268</v>
      </c>
      <c r="AB28" s="2">
        <v>1058.4112198172299</v>
      </c>
      <c r="AC28" s="2">
        <v>1108.81176714147</v>
      </c>
      <c r="AD28" s="2">
        <v>1159.2124018240299</v>
      </c>
      <c r="AE28" s="2">
        <v>1209.61286637327</v>
      </c>
      <c r="AF28" s="2">
        <v>1260.01351196417</v>
      </c>
      <c r="AG28" s="2">
        <v>1310.4139765134</v>
      </c>
    </row>
    <row r="29" spans="1:33" x14ac:dyDescent="0.35">
      <c r="A29" s="3" t="s">
        <v>26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4.8503673276666701</v>
      </c>
      <c r="I29" s="4">
        <v>29.922880533333299</v>
      </c>
      <c r="J29" s="4">
        <v>44.884235733333298</v>
      </c>
      <c r="K29" s="4">
        <v>59.845761066666697</v>
      </c>
      <c r="L29" s="4">
        <v>74.807116266666696</v>
      </c>
      <c r="M29" s="4">
        <v>89.768471466666696</v>
      </c>
      <c r="N29" s="4">
        <v>104.7299968</v>
      </c>
      <c r="O29" s="4">
        <v>119.69135199999999</v>
      </c>
      <c r="P29" s="4">
        <v>134.65270720000001</v>
      </c>
      <c r="Q29" s="4">
        <v>149.61423253333299</v>
      </c>
      <c r="R29" s="4">
        <v>164.57558773333301</v>
      </c>
      <c r="S29" s="4">
        <v>179.53711306666699</v>
      </c>
      <c r="T29" s="4">
        <v>194.49829813333301</v>
      </c>
      <c r="U29" s="4">
        <v>209.45965333333299</v>
      </c>
      <c r="V29" s="4">
        <v>224.421178666667</v>
      </c>
      <c r="W29" s="4">
        <v>239.38253386666699</v>
      </c>
      <c r="X29" s="4">
        <v>254.3440592</v>
      </c>
      <c r="Y29" s="4">
        <v>269.30541440000002</v>
      </c>
      <c r="Z29" s="4">
        <v>284.26676959999998</v>
      </c>
      <c r="AA29" s="4">
        <v>299.22829493333302</v>
      </c>
      <c r="AB29" s="4">
        <v>314.18965013333298</v>
      </c>
      <c r="AC29" s="4">
        <v>329.15100533333299</v>
      </c>
      <c r="AD29" s="4">
        <v>344.112530666667</v>
      </c>
      <c r="AE29" s="4">
        <v>359.07388586666701</v>
      </c>
      <c r="AF29" s="4">
        <v>374.0354112</v>
      </c>
      <c r="AG29" s="4">
        <v>388.99676640000001</v>
      </c>
    </row>
    <row r="30" spans="1:33" x14ac:dyDescent="0.35">
      <c r="A30" s="3" t="s">
        <v>27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35.9155571159</v>
      </c>
      <c r="I30" s="4">
        <v>71.831114231800001</v>
      </c>
      <c r="J30" s="4">
        <v>107.7466713477</v>
      </c>
      <c r="K30" s="4">
        <v>143.6622284636</v>
      </c>
      <c r="L30" s="4">
        <v>179.577857446167</v>
      </c>
      <c r="M30" s="4">
        <v>215.49341456206699</v>
      </c>
      <c r="N30" s="4">
        <v>251.408971677967</v>
      </c>
      <c r="O30" s="4">
        <v>287.32452879386699</v>
      </c>
      <c r="P30" s="4">
        <v>323.240085909767</v>
      </c>
      <c r="Q30" s="4">
        <v>359.15564302566702</v>
      </c>
      <c r="R30" s="4">
        <v>395.07120014156698</v>
      </c>
      <c r="S30" s="4">
        <v>430.98675725746699</v>
      </c>
      <c r="T30" s="4">
        <v>466.90231437336701</v>
      </c>
      <c r="U30" s="4">
        <v>502.81794335593298</v>
      </c>
      <c r="V30" s="4">
        <v>538.73350047183305</v>
      </c>
      <c r="W30" s="4">
        <v>574.64905758773295</v>
      </c>
      <c r="X30" s="4">
        <v>610.56461470363297</v>
      </c>
      <c r="Y30" s="4">
        <v>646.48017181953401</v>
      </c>
      <c r="Z30" s="4">
        <v>682.39572893543402</v>
      </c>
      <c r="AA30" s="4">
        <v>718.31128605133301</v>
      </c>
      <c r="AB30" s="4">
        <v>754.22684316723405</v>
      </c>
      <c r="AC30" s="4">
        <v>790.14247214980003</v>
      </c>
      <c r="AD30" s="4">
        <v>826.05802926570004</v>
      </c>
      <c r="AE30" s="4">
        <v>861.97358638159994</v>
      </c>
      <c r="AF30" s="4">
        <v>897.88914349749996</v>
      </c>
      <c r="AG30" s="4">
        <v>933.80470061339997</v>
      </c>
    </row>
    <row r="31" spans="1:33" x14ac:dyDescent="0.35">
      <c r="A31" s="3" t="s">
        <v>28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0.188190566666667</v>
      </c>
      <c r="I31" s="4">
        <v>0.37639204166666601</v>
      </c>
      <c r="J31" s="4">
        <v>0.56458260833333296</v>
      </c>
      <c r="K31" s="4">
        <v>0.75277317499999896</v>
      </c>
      <c r="L31" s="4">
        <v>0.94097464999999902</v>
      </c>
      <c r="M31" s="4">
        <v>1.1291652166666699</v>
      </c>
      <c r="N31" s="4">
        <v>1.31735578333333</v>
      </c>
      <c r="O31" s="4">
        <v>1.5055463499999999</v>
      </c>
      <c r="P31" s="4">
        <v>1.693747825</v>
      </c>
      <c r="Q31" s="4">
        <v>1.8819383916666701</v>
      </c>
      <c r="R31" s="4">
        <v>2.07012895833333</v>
      </c>
      <c r="S31" s="4">
        <v>2.2583304333333301</v>
      </c>
      <c r="T31" s="4">
        <v>2.4465210000000002</v>
      </c>
      <c r="U31" s="4">
        <v>2.6347115666666698</v>
      </c>
      <c r="V31" s="4">
        <v>2.8229130416666601</v>
      </c>
      <c r="W31" s="4">
        <v>3.0111036083333298</v>
      </c>
      <c r="X31" s="4">
        <v>3.1992941749999999</v>
      </c>
      <c r="Y31" s="4">
        <v>3.38749565</v>
      </c>
      <c r="Z31" s="4">
        <v>3.5756862166666599</v>
      </c>
      <c r="AA31" s="4">
        <v>3.76387678333333</v>
      </c>
      <c r="AB31" s="4">
        <v>3.9520673500000001</v>
      </c>
      <c r="AC31" s="4">
        <v>4.1402688249999997</v>
      </c>
      <c r="AD31" s="4">
        <v>4.3284593916666596</v>
      </c>
      <c r="AE31" s="4">
        <v>4.5166499583333302</v>
      </c>
      <c r="AF31" s="4">
        <v>4.7048514333333298</v>
      </c>
      <c r="AG31" s="4">
        <v>4.8930420000000003</v>
      </c>
    </row>
    <row r="32" spans="1:33" x14ac:dyDescent="0.35">
      <c r="A32" s="3" t="s">
        <v>29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-0.69380646133333301</v>
      </c>
      <c r="I32" s="4">
        <v>-1.32927666666667</v>
      </c>
      <c r="J32" s="4">
        <v>-1.9939150000000001</v>
      </c>
      <c r="K32" s="4">
        <v>-2.6585533333333302</v>
      </c>
      <c r="L32" s="4">
        <v>-3.3231916666666699</v>
      </c>
      <c r="M32" s="4">
        <v>-3.9878300000000002</v>
      </c>
      <c r="N32" s="4">
        <v>-4.6524683333333297</v>
      </c>
      <c r="O32" s="4">
        <v>-5.3171066666666702</v>
      </c>
      <c r="P32" s="4">
        <v>-5.9817450000000001</v>
      </c>
      <c r="Q32" s="4">
        <v>-6.64638333333333</v>
      </c>
      <c r="R32" s="4">
        <v>-7.3110216666666696</v>
      </c>
      <c r="S32" s="4">
        <v>-7.9756600000000004</v>
      </c>
      <c r="T32" s="4">
        <v>-8.6402341666666693</v>
      </c>
      <c r="U32" s="4">
        <v>-9.3048725000000001</v>
      </c>
      <c r="V32" s="4">
        <v>-9.9695108333333309</v>
      </c>
      <c r="W32" s="4">
        <v>-10.634149166666701</v>
      </c>
      <c r="X32" s="4">
        <v>-11.2987875</v>
      </c>
      <c r="Y32" s="4">
        <v>-11.9634258333333</v>
      </c>
      <c r="Z32" s="4">
        <v>-12.6280641666667</v>
      </c>
      <c r="AA32" s="4">
        <v>-13.292702500000001</v>
      </c>
      <c r="AB32" s="4">
        <v>-13.9573408333333</v>
      </c>
      <c r="AC32" s="4">
        <v>-14.6219791666667</v>
      </c>
      <c r="AD32" s="4">
        <v>-15.2866175</v>
      </c>
      <c r="AE32" s="4">
        <v>-15.951255833333301</v>
      </c>
      <c r="AF32" s="4">
        <v>-16.615894166666699</v>
      </c>
      <c r="AG32" s="4">
        <v>-17.2805325</v>
      </c>
    </row>
    <row r="33" spans="1:33" x14ac:dyDescent="0.35">
      <c r="A33" s="3" t="s">
        <v>30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533.33754716055</v>
      </c>
      <c r="I33" s="2">
        <v>238.78089147036701</v>
      </c>
      <c r="J33" s="2">
        <v>356.58341754685802</v>
      </c>
      <c r="K33" s="2">
        <v>474.386728236208</v>
      </c>
      <c r="L33" s="2">
        <v>604.88977185055796</v>
      </c>
      <c r="M33" s="2">
        <v>630.32872611490802</v>
      </c>
      <c r="N33" s="2">
        <v>649.41760950806702</v>
      </c>
      <c r="O33" s="2">
        <v>671.68154760574998</v>
      </c>
      <c r="P33" s="2">
        <v>693.94554987009997</v>
      </c>
      <c r="Q33" s="2">
        <v>716.20948796778305</v>
      </c>
      <c r="R33" s="2">
        <v>738.473387527608</v>
      </c>
      <c r="S33" s="2">
        <v>760.73738979195798</v>
      </c>
      <c r="T33" s="2">
        <v>783.00126372297495</v>
      </c>
      <c r="U33" s="2">
        <v>805.26520182065804</v>
      </c>
      <c r="V33" s="2">
        <v>827.52920408500802</v>
      </c>
      <c r="W33" s="2">
        <v>849.79310364483297</v>
      </c>
      <c r="X33" s="2">
        <v>872.05704174251696</v>
      </c>
      <c r="Y33" s="2">
        <v>894.32104400686706</v>
      </c>
      <c r="Z33" s="2">
        <v>916.58498210455002</v>
      </c>
      <c r="AA33" s="2">
        <v>938.84881749770796</v>
      </c>
      <c r="AB33" s="2">
        <v>718.423624387058</v>
      </c>
      <c r="AC33" s="2">
        <v>752.63429600140796</v>
      </c>
      <c r="AD33" s="2">
        <v>786.84504269075796</v>
      </c>
      <c r="AE33" s="2">
        <v>821.05554743391701</v>
      </c>
      <c r="AF33" s="2">
        <v>855.26635828993301</v>
      </c>
      <c r="AG33" s="2">
        <v>889.47690157094996</v>
      </c>
    </row>
    <row r="34" spans="1:33" x14ac:dyDescent="0.35">
      <c r="A34" s="3" t="s">
        <v>31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533.33754716055</v>
      </c>
      <c r="I34" s="2">
        <v>238.78089147036701</v>
      </c>
      <c r="J34" s="2">
        <v>356.58341754685802</v>
      </c>
      <c r="K34" s="2">
        <v>474.386728236208</v>
      </c>
      <c r="L34" s="2">
        <v>604.88977185055796</v>
      </c>
      <c r="M34" s="2">
        <v>630.32872611490802</v>
      </c>
      <c r="N34" s="2">
        <v>649.41760950806702</v>
      </c>
      <c r="O34" s="2">
        <v>671.68154760574998</v>
      </c>
      <c r="P34" s="2">
        <v>693.94554987009997</v>
      </c>
      <c r="Q34" s="2">
        <v>716.20948796778305</v>
      </c>
      <c r="R34" s="2">
        <v>738.473387527608</v>
      </c>
      <c r="S34" s="2">
        <v>760.73738979195798</v>
      </c>
      <c r="T34" s="2">
        <v>783.00126372297495</v>
      </c>
      <c r="U34" s="2">
        <v>805.26520182065804</v>
      </c>
      <c r="V34" s="2">
        <v>827.52920408500802</v>
      </c>
      <c r="W34" s="2">
        <v>849.79310364483297</v>
      </c>
      <c r="X34" s="2">
        <v>872.05704174251696</v>
      </c>
      <c r="Y34" s="2">
        <v>894.32104400686706</v>
      </c>
      <c r="Z34" s="2">
        <v>916.58498210455002</v>
      </c>
      <c r="AA34" s="2">
        <v>938.84881749770796</v>
      </c>
      <c r="AB34" s="2">
        <v>718.423624387058</v>
      </c>
      <c r="AC34" s="2">
        <v>752.63429600140796</v>
      </c>
      <c r="AD34" s="2">
        <v>786.84504269075796</v>
      </c>
      <c r="AE34" s="2">
        <v>821.05554743391701</v>
      </c>
      <c r="AF34" s="2">
        <v>855.26635828993301</v>
      </c>
      <c r="AG34" s="2">
        <v>889.47690157094996</v>
      </c>
    </row>
    <row r="35" spans="1:33" x14ac:dyDescent="0.35">
      <c r="A35" s="3" t="s">
        <v>32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47.862168859999997</v>
      </c>
      <c r="I35" s="4">
        <v>30.27563</v>
      </c>
      <c r="J35" s="4">
        <v>45.413380833333299</v>
      </c>
      <c r="K35" s="4">
        <v>60.551259999999999</v>
      </c>
      <c r="L35" s="4">
        <v>75.689010833333299</v>
      </c>
      <c r="M35" s="4">
        <v>90.826890000000006</v>
      </c>
      <c r="N35" s="4">
        <v>105.96464083333299</v>
      </c>
      <c r="O35" s="4">
        <v>121.102455833333</v>
      </c>
      <c r="P35" s="4">
        <v>136.240270833333</v>
      </c>
      <c r="Q35" s="4">
        <v>151.37808583333299</v>
      </c>
      <c r="R35" s="4">
        <v>166.51590083333301</v>
      </c>
      <c r="S35" s="4">
        <v>181.653715833333</v>
      </c>
      <c r="T35" s="4">
        <v>196.79146666666699</v>
      </c>
      <c r="U35" s="4">
        <v>211.92928166666701</v>
      </c>
      <c r="V35" s="4">
        <v>227.067096666667</v>
      </c>
      <c r="W35" s="4">
        <v>242.20491166666699</v>
      </c>
      <c r="X35" s="4">
        <v>257.34272666666698</v>
      </c>
      <c r="Y35" s="4">
        <v>272.48054166666702</v>
      </c>
      <c r="Z35" s="4">
        <v>287.61835666666701</v>
      </c>
      <c r="AA35" s="4">
        <v>302.75610749999998</v>
      </c>
      <c r="AB35" s="4">
        <v>317.89398666666699</v>
      </c>
      <c r="AC35" s="4">
        <v>333.03173750000002</v>
      </c>
      <c r="AD35" s="4">
        <v>348.16961666666703</v>
      </c>
      <c r="AE35" s="4">
        <v>363.3073675</v>
      </c>
      <c r="AF35" s="4">
        <v>378.445246666667</v>
      </c>
      <c r="AG35" s="4">
        <v>393.58299749999998</v>
      </c>
    </row>
    <row r="36" spans="1:33" x14ac:dyDescent="0.35">
      <c r="A36" s="3" t="s">
        <v>33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50.587328431016701</v>
      </c>
      <c r="I36" s="4">
        <v>14.252310362033301</v>
      </c>
      <c r="J36" s="4">
        <v>21.378394921858298</v>
      </c>
      <c r="K36" s="4">
        <v>28.504518019541699</v>
      </c>
      <c r="L36" s="4">
        <v>35.6307052838917</v>
      </c>
      <c r="M36" s="4">
        <v>42.756828381574998</v>
      </c>
      <c r="N36" s="4">
        <v>49.882912941400001</v>
      </c>
      <c r="O36" s="4">
        <v>57.009036039083298</v>
      </c>
      <c r="P36" s="4">
        <v>64.135223303433307</v>
      </c>
      <c r="Q36" s="4">
        <v>71.261346401116697</v>
      </c>
      <c r="R36" s="4">
        <v>78.3874309609417</v>
      </c>
      <c r="S36" s="4">
        <v>85.513618225291694</v>
      </c>
      <c r="T36" s="4">
        <v>92.639741322974999</v>
      </c>
      <c r="U36" s="4">
        <v>99.765864420658303</v>
      </c>
      <c r="V36" s="4">
        <v>106.892051685008</v>
      </c>
      <c r="W36" s="4">
        <v>114.018136244833</v>
      </c>
      <c r="X36" s="4">
        <v>121.144259342517</v>
      </c>
      <c r="Y36" s="4">
        <v>128.27044660686701</v>
      </c>
      <c r="Z36" s="4">
        <v>135.39656970454999</v>
      </c>
      <c r="AA36" s="4">
        <v>142.52265426437501</v>
      </c>
      <c r="AB36" s="4">
        <v>149.64877736205801</v>
      </c>
      <c r="AC36" s="4">
        <v>156.77496462640801</v>
      </c>
      <c r="AD36" s="4">
        <v>163.90108772409201</v>
      </c>
      <c r="AE36" s="4">
        <v>171.027172283917</v>
      </c>
      <c r="AF36" s="4">
        <v>178.15335954826699</v>
      </c>
      <c r="AG36" s="4">
        <v>185.27948264595</v>
      </c>
    </row>
    <row r="37" spans="1:33" x14ac:dyDescent="0.35">
      <c r="A37" s="3" t="s">
        <v>34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431.09920986953301</v>
      </c>
      <c r="I37" s="4">
        <v>191.07799910833299</v>
      </c>
      <c r="J37" s="4">
        <v>286.616689791667</v>
      </c>
      <c r="K37" s="4">
        <v>382.155998216667</v>
      </c>
      <c r="L37" s="4">
        <v>477.69468890000002</v>
      </c>
      <c r="M37" s="4">
        <v>477.69468890000002</v>
      </c>
      <c r="N37" s="4">
        <v>477.69468890000002</v>
      </c>
      <c r="O37" s="4">
        <v>477.69468890000002</v>
      </c>
      <c r="P37" s="4">
        <v>477.69468890000002</v>
      </c>
      <c r="Q37" s="4">
        <v>477.69468890000002</v>
      </c>
      <c r="R37" s="4">
        <v>477.69468890000002</v>
      </c>
      <c r="S37" s="4">
        <v>477.69468890000002</v>
      </c>
      <c r="T37" s="4">
        <v>477.69468890000002</v>
      </c>
      <c r="U37" s="4">
        <v>477.69468890000002</v>
      </c>
      <c r="V37" s="4">
        <v>477.69468890000002</v>
      </c>
      <c r="W37" s="4">
        <v>477.69468890000002</v>
      </c>
      <c r="X37" s="4">
        <v>477.69468890000002</v>
      </c>
      <c r="Y37" s="4">
        <v>477.69468890000002</v>
      </c>
      <c r="Z37" s="4">
        <v>477.69468890000002</v>
      </c>
      <c r="AA37" s="4">
        <v>477.69468890000002</v>
      </c>
      <c r="AB37" s="4">
        <v>243.83061202499999</v>
      </c>
      <c r="AC37" s="4">
        <v>255.44156137499999</v>
      </c>
      <c r="AD37" s="4">
        <v>267.05258579999997</v>
      </c>
      <c r="AE37" s="4">
        <v>278.66353514999997</v>
      </c>
      <c r="AF37" s="4">
        <v>290.27455957500001</v>
      </c>
      <c r="AG37" s="4">
        <v>301.88550892500001</v>
      </c>
    </row>
    <row r="38" spans="1:33" x14ac:dyDescent="0.35">
      <c r="A38" s="3" t="s">
        <v>35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3.78884</v>
      </c>
      <c r="I38" s="4">
        <v>3.1749520000000002</v>
      </c>
      <c r="J38" s="4">
        <v>3.1749520000000002</v>
      </c>
      <c r="K38" s="4">
        <v>3.1749520000000002</v>
      </c>
      <c r="L38" s="4">
        <v>15.875366833333301</v>
      </c>
      <c r="M38" s="4">
        <v>19.0503188333333</v>
      </c>
      <c r="N38" s="4">
        <v>15.875366833333301</v>
      </c>
      <c r="O38" s="4">
        <v>15.875366833333301</v>
      </c>
      <c r="P38" s="4">
        <v>15.875366833333301</v>
      </c>
      <c r="Q38" s="4">
        <v>15.875366833333301</v>
      </c>
      <c r="R38" s="4">
        <v>15.875366833333301</v>
      </c>
      <c r="S38" s="4">
        <v>15.875366833333301</v>
      </c>
      <c r="T38" s="4">
        <v>15.875366833333301</v>
      </c>
      <c r="U38" s="4">
        <v>15.875366833333301</v>
      </c>
      <c r="V38" s="4">
        <v>15.875366833333301</v>
      </c>
      <c r="W38" s="4">
        <v>15.875366833333301</v>
      </c>
      <c r="X38" s="4">
        <v>15.875366833333301</v>
      </c>
      <c r="Y38" s="4">
        <v>15.875366833333301</v>
      </c>
      <c r="Z38" s="4">
        <v>15.875366833333301</v>
      </c>
      <c r="AA38" s="4">
        <v>15.875366833333301</v>
      </c>
      <c r="AB38" s="4">
        <v>7.0502483333333297</v>
      </c>
      <c r="AC38" s="4">
        <v>7.3860324999999998</v>
      </c>
      <c r="AD38" s="4">
        <v>7.7217525</v>
      </c>
      <c r="AE38" s="4">
        <v>8.0574724999999994</v>
      </c>
      <c r="AF38" s="4">
        <v>8.3931924999999996</v>
      </c>
      <c r="AG38" s="4">
        <v>8.7289124999999999</v>
      </c>
    </row>
    <row r="44" spans="1:33" x14ac:dyDescent="0.35">
      <c r="B44" s="5" t="s">
        <v>36</v>
      </c>
      <c r="C44" s="3" t="s">
        <v>3</v>
      </c>
      <c r="D44" s="3" t="s">
        <v>10</v>
      </c>
      <c r="E44" s="3" t="s">
        <v>17</v>
      </c>
      <c r="F44" s="3" t="s">
        <v>24</v>
      </c>
      <c r="G44" s="3" t="s">
        <v>30</v>
      </c>
    </row>
    <row r="45" spans="1:33" ht="18.5" x14ac:dyDescent="0.35">
      <c r="B45" s="6">
        <v>1990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  <row r="46" spans="1:33" ht="18.5" x14ac:dyDescent="0.35">
      <c r="B46" s="6">
        <v>1991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</row>
    <row r="47" spans="1:33" ht="18.5" x14ac:dyDescent="0.35">
      <c r="B47" s="6">
        <v>1992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</row>
    <row r="48" spans="1:33" ht="18.5" x14ac:dyDescent="0.35">
      <c r="B48" s="6">
        <v>1993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</row>
    <row r="49" spans="2:7" ht="18.5" x14ac:dyDescent="0.35">
      <c r="B49" s="6">
        <v>1994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</row>
    <row r="50" spans="2:7" ht="18.5" x14ac:dyDescent="0.35">
      <c r="B50" s="6">
        <v>1995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</row>
    <row r="51" spans="2:7" ht="18.5" x14ac:dyDescent="0.35">
      <c r="B51" s="6">
        <v>1996</v>
      </c>
      <c r="C51" s="2">
        <v>-187394.403020898</v>
      </c>
      <c r="D51" s="2">
        <v>25208.847398642702</v>
      </c>
      <c r="E51" s="2">
        <v>-26980.696261439702</v>
      </c>
      <c r="F51" s="2">
        <v>40.260308548899999</v>
      </c>
      <c r="G51" s="2">
        <v>533.33754716055</v>
      </c>
    </row>
    <row r="52" spans="2:7" ht="18.5" x14ac:dyDescent="0.35">
      <c r="B52" s="6">
        <v>1997</v>
      </c>
      <c r="C52" s="2">
        <v>-189008.36829769899</v>
      </c>
      <c r="D52" s="2">
        <v>24339.644305422</v>
      </c>
      <c r="E52" s="2">
        <v>-30046.023574893901</v>
      </c>
      <c r="F52" s="2">
        <v>100.80111014013301</v>
      </c>
      <c r="G52" s="2">
        <v>238.78089147036701</v>
      </c>
    </row>
    <row r="53" spans="2:7" ht="18.5" x14ac:dyDescent="0.35">
      <c r="B53" s="6">
        <v>1998</v>
      </c>
      <c r="C53" s="2">
        <v>-190611.055871199</v>
      </c>
      <c r="D53" s="2">
        <v>23439.336118474701</v>
      </c>
      <c r="E53" s="2">
        <v>-33101.075408784302</v>
      </c>
      <c r="F53" s="2">
        <v>151.20157468936699</v>
      </c>
      <c r="G53" s="2">
        <v>356.58341754685802</v>
      </c>
    </row>
    <row r="54" spans="2:7" ht="18.5" x14ac:dyDescent="0.35">
      <c r="B54" s="6">
        <v>1999</v>
      </c>
      <c r="C54" s="2">
        <v>-193813.112619747</v>
      </c>
      <c r="D54" s="2">
        <v>22539.070547985299</v>
      </c>
      <c r="E54" s="2">
        <v>-36160.149936868103</v>
      </c>
      <c r="F54" s="2">
        <v>201.60220937193299</v>
      </c>
      <c r="G54" s="2">
        <v>474.386728236208</v>
      </c>
    </row>
    <row r="55" spans="2:7" ht="18.5" x14ac:dyDescent="0.35">
      <c r="B55" s="6">
        <v>2000</v>
      </c>
      <c r="C55" s="2">
        <v>-193816.430951688</v>
      </c>
      <c r="D55" s="2">
        <v>21633.441297907499</v>
      </c>
      <c r="E55" s="2">
        <v>-39219.224642422603</v>
      </c>
      <c r="F55" s="2">
        <v>252.00275669616701</v>
      </c>
      <c r="G55" s="2">
        <v>604.88977185055796</v>
      </c>
    </row>
    <row r="56" spans="2:7" ht="18.5" x14ac:dyDescent="0.35">
      <c r="B56" s="6">
        <v>2001</v>
      </c>
      <c r="C56" s="2">
        <v>-195419.11882833601</v>
      </c>
      <c r="D56" s="2">
        <v>20738.539718229498</v>
      </c>
      <c r="E56" s="2">
        <v>-42278.299095431401</v>
      </c>
      <c r="F56" s="2">
        <v>302.4032212454</v>
      </c>
      <c r="G56" s="2">
        <v>630.32872611490802</v>
      </c>
    </row>
    <row r="57" spans="2:7" ht="18.5" x14ac:dyDescent="0.35">
      <c r="B57" s="6">
        <v>2002</v>
      </c>
      <c r="C57" s="2">
        <v>-196580.633024385</v>
      </c>
      <c r="D57" s="2">
        <v>19838.274206591199</v>
      </c>
      <c r="E57" s="2">
        <v>-45337.373724743098</v>
      </c>
      <c r="F57" s="2">
        <v>352.80385592796699</v>
      </c>
      <c r="G57" s="2">
        <v>649.41760950806702</v>
      </c>
    </row>
    <row r="58" spans="2:7" ht="18.5" x14ac:dyDescent="0.35">
      <c r="B58" s="6">
        <v>2003</v>
      </c>
      <c r="C58" s="2">
        <v>-196720.72053733701</v>
      </c>
      <c r="D58" s="2">
        <v>18938.008671135602</v>
      </c>
      <c r="E58" s="2">
        <v>-48396.4482528269</v>
      </c>
      <c r="F58" s="2">
        <v>403.20432047719999</v>
      </c>
      <c r="G58" s="2">
        <v>671.68154760574998</v>
      </c>
    </row>
    <row r="59" spans="2:7" ht="18.5" x14ac:dyDescent="0.35">
      <c r="B59" s="7">
        <v>2004</v>
      </c>
      <c r="C59" s="2">
        <v>-200227.18140167001</v>
      </c>
      <c r="D59" s="2">
        <v>18037.743394435402</v>
      </c>
      <c r="E59" s="2">
        <v>-51455.522882138597</v>
      </c>
      <c r="F59" s="2">
        <v>453.60479593476703</v>
      </c>
      <c r="G59" s="2">
        <v>693.94554987009997</v>
      </c>
    </row>
    <row r="60" spans="2:7" ht="18.5" x14ac:dyDescent="0.35">
      <c r="B60" s="6">
        <v>2005</v>
      </c>
      <c r="C60" s="2">
        <v>-201829.869048591</v>
      </c>
      <c r="D60" s="2">
        <v>17137.477806346</v>
      </c>
      <c r="E60" s="2">
        <v>-54514.597335147497</v>
      </c>
      <c r="F60" s="2">
        <v>504.00543061733299</v>
      </c>
      <c r="G60" s="2">
        <v>716.20948796778305</v>
      </c>
    </row>
    <row r="61" spans="2:7" ht="18.5" x14ac:dyDescent="0.35">
      <c r="B61" s="6">
        <v>2006</v>
      </c>
      <c r="C61" s="2">
        <v>-203432.55665746101</v>
      </c>
      <c r="D61" s="2">
        <v>16237.2123553703</v>
      </c>
      <c r="E61" s="2">
        <v>-57573.671964459201</v>
      </c>
      <c r="F61" s="2">
        <v>554.40589516656701</v>
      </c>
      <c r="G61" s="2">
        <v>738.473387527608</v>
      </c>
    </row>
    <row r="62" spans="2:7" ht="18.5" x14ac:dyDescent="0.35">
      <c r="B62" s="6">
        <v>2007</v>
      </c>
      <c r="C62" s="2">
        <v>-205035.24405283699</v>
      </c>
      <c r="D62" s="2">
        <v>15336.947117207999</v>
      </c>
      <c r="E62" s="2">
        <v>-60632.746492543003</v>
      </c>
      <c r="F62" s="2">
        <v>604.80654075746702</v>
      </c>
      <c r="G62" s="2">
        <v>760.73738979195798</v>
      </c>
    </row>
    <row r="63" spans="2:7" ht="18.5" x14ac:dyDescent="0.35">
      <c r="B63" s="6">
        <v>2008</v>
      </c>
      <c r="C63" s="2">
        <v>-206637.93156581599</v>
      </c>
      <c r="D63" s="2">
        <v>14434.6805039924</v>
      </c>
      <c r="E63" s="2">
        <v>-63691.821123022499</v>
      </c>
      <c r="F63" s="2">
        <v>655.20689934003303</v>
      </c>
      <c r="G63" s="2">
        <v>783.00126372297495</v>
      </c>
    </row>
    <row r="64" spans="2:7" ht="18.5" x14ac:dyDescent="0.35">
      <c r="B64" s="6">
        <v>2009</v>
      </c>
      <c r="C64" s="2">
        <v>-208240.619646217</v>
      </c>
      <c r="D64" s="2">
        <v>13534.414851736199</v>
      </c>
      <c r="E64" s="2">
        <v>-66750.895651106301</v>
      </c>
      <c r="F64" s="2">
        <v>705.60743575593301</v>
      </c>
      <c r="G64" s="2">
        <v>805.26520182065804</v>
      </c>
    </row>
    <row r="65" spans="2:7" ht="18.5" x14ac:dyDescent="0.35">
      <c r="B65" s="6">
        <v>2010</v>
      </c>
      <c r="C65" s="2">
        <v>-209843.30708129899</v>
      </c>
      <c r="D65" s="2">
        <v>12644.8620437881</v>
      </c>
      <c r="E65" s="2">
        <v>-69809.970280417998</v>
      </c>
      <c r="F65" s="2">
        <v>756.00808134683302</v>
      </c>
      <c r="G65" s="2">
        <v>827.52920408500802</v>
      </c>
    </row>
    <row r="66" spans="2:7" ht="18.5" x14ac:dyDescent="0.35">
      <c r="B66" s="6">
        <v>2011</v>
      </c>
      <c r="C66" s="2">
        <v>-211445.99465046299</v>
      </c>
      <c r="D66" s="2">
        <v>11735.885071398299</v>
      </c>
      <c r="E66" s="2">
        <v>-72869.044808501902</v>
      </c>
      <c r="F66" s="2">
        <v>806.40854589606704</v>
      </c>
      <c r="G66" s="2">
        <v>849.79310364483297</v>
      </c>
    </row>
    <row r="67" spans="2:7" ht="18.5" x14ac:dyDescent="0.35">
      <c r="B67" s="6">
        <v>2012</v>
      </c>
      <c r="C67" s="2">
        <v>-213048.68233708901</v>
      </c>
      <c r="D67" s="2">
        <v>10835.619483308899</v>
      </c>
      <c r="E67" s="2">
        <v>-75928.119362738595</v>
      </c>
      <c r="F67" s="2">
        <v>856.809180578633</v>
      </c>
      <c r="G67" s="2">
        <v>872.05704174251696</v>
      </c>
    </row>
    <row r="68" spans="2:7" ht="18.5" x14ac:dyDescent="0.35">
      <c r="B68" s="6">
        <v>2013</v>
      </c>
      <c r="C68" s="2">
        <v>-214651.36993505</v>
      </c>
      <c r="D68" s="2">
        <v>9935.3542066086902</v>
      </c>
      <c r="E68" s="2">
        <v>-78987.193890822396</v>
      </c>
      <c r="F68" s="2">
        <v>907.20965603620004</v>
      </c>
      <c r="G68" s="2">
        <v>894.32104400686706</v>
      </c>
    </row>
    <row r="69" spans="2:7" ht="18.5" x14ac:dyDescent="0.35">
      <c r="B69" s="6">
        <v>2014</v>
      </c>
      <c r="C69" s="2">
        <v>-216254.057381041</v>
      </c>
      <c r="D69" s="2">
        <v>9035.0886711530493</v>
      </c>
      <c r="E69" s="2">
        <v>-82046.268520134094</v>
      </c>
      <c r="F69" s="2">
        <v>957.61012058543304</v>
      </c>
      <c r="G69" s="2">
        <v>916.58498210455002</v>
      </c>
    </row>
    <row r="70" spans="2:7" ht="18.5" x14ac:dyDescent="0.35">
      <c r="B70" s="6">
        <v>2015</v>
      </c>
      <c r="C70" s="2">
        <v>-217856.74487071799</v>
      </c>
      <c r="D70" s="2">
        <v>8134.8231595147899</v>
      </c>
      <c r="E70" s="2">
        <v>-85105.343048217997</v>
      </c>
      <c r="F70" s="2">
        <v>1008.010755268</v>
      </c>
      <c r="G70" s="2">
        <v>938.84881749770796</v>
      </c>
    </row>
    <row r="71" spans="2:7" ht="18.5" x14ac:dyDescent="0.35">
      <c r="B71" s="6">
        <v>2016</v>
      </c>
      <c r="C71" s="2">
        <v>-219459.432787072</v>
      </c>
      <c r="D71" s="2">
        <v>7234.5753581674799</v>
      </c>
      <c r="E71" s="2">
        <v>-88164.417602454705</v>
      </c>
      <c r="F71" s="2">
        <v>1058.4112198172299</v>
      </c>
      <c r="G71" s="2">
        <v>718.423624387058</v>
      </c>
    </row>
    <row r="72" spans="2:7" ht="18.5" x14ac:dyDescent="0.35">
      <c r="B72" s="6">
        <v>2017</v>
      </c>
      <c r="C72" s="2">
        <v>-221062.12008387601</v>
      </c>
      <c r="D72" s="2">
        <v>6334.31099983898</v>
      </c>
      <c r="E72" s="2">
        <v>-91223.4922067812</v>
      </c>
      <c r="F72" s="2">
        <v>1108.81176714147</v>
      </c>
      <c r="G72" s="2">
        <v>752.63429600140796</v>
      </c>
    </row>
    <row r="73" spans="2:7" ht="18.5" x14ac:dyDescent="0.35">
      <c r="B73" s="6">
        <v>2018</v>
      </c>
      <c r="C73" s="2">
        <v>-220321.325755506</v>
      </c>
      <c r="D73" s="2">
        <v>4310.0501635788696</v>
      </c>
      <c r="E73" s="2">
        <v>-94282.566836092999</v>
      </c>
      <c r="F73" s="2">
        <v>1159.2124018240299</v>
      </c>
      <c r="G73" s="2">
        <v>786.84504269075796</v>
      </c>
    </row>
    <row r="74" spans="2:7" ht="18.5" x14ac:dyDescent="0.35">
      <c r="B74" s="6">
        <v>2019</v>
      </c>
      <c r="C74" s="2">
        <v>-224267.495401355</v>
      </c>
      <c r="D74" s="2">
        <v>4533.7815944022204</v>
      </c>
      <c r="E74" s="2">
        <v>-97341.641364176801</v>
      </c>
      <c r="F74" s="2">
        <v>1209.61286637327</v>
      </c>
      <c r="G74" s="2">
        <v>821.05554743391701</v>
      </c>
    </row>
    <row r="75" spans="2:7" ht="18.5" x14ac:dyDescent="0.35">
      <c r="B75" s="6">
        <v>2020</v>
      </c>
      <c r="C75" s="2">
        <v>-225870.182975679</v>
      </c>
      <c r="D75" s="2">
        <v>3633.5172570115801</v>
      </c>
      <c r="E75" s="2">
        <v>-100400.715918414</v>
      </c>
      <c r="F75" s="2">
        <v>1260.01351196417</v>
      </c>
      <c r="G75" s="2">
        <v>855.26635828993301</v>
      </c>
    </row>
    <row r="76" spans="2:7" ht="18.5" x14ac:dyDescent="0.35">
      <c r="B76" s="6">
        <v>2021</v>
      </c>
      <c r="C76" s="2">
        <v>-225394.504603985</v>
      </c>
      <c r="D76" s="2">
        <v>2733.2524927842701</v>
      </c>
      <c r="E76" s="2">
        <v>-103459.79044649701</v>
      </c>
      <c r="F76" s="2">
        <v>1310.4139765134</v>
      </c>
      <c r="G76" s="2">
        <v>889.47690157094996</v>
      </c>
    </row>
    <row r="83" spans="2:7" x14ac:dyDescent="0.35">
      <c r="B83" s="5" t="s">
        <v>36</v>
      </c>
      <c r="C83" s="3" t="s">
        <v>5</v>
      </c>
      <c r="D83" s="3" t="s">
        <v>12</v>
      </c>
      <c r="E83" s="3" t="s">
        <v>19</v>
      </c>
      <c r="F83" s="3" t="s">
        <v>25</v>
      </c>
      <c r="G83" s="3" t="s">
        <v>31</v>
      </c>
    </row>
    <row r="84" spans="2:7" ht="18.5" x14ac:dyDescent="0.35">
      <c r="B84" s="6">
        <v>1990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</row>
    <row r="85" spans="2:7" ht="18.5" x14ac:dyDescent="0.35">
      <c r="B85" s="6">
        <v>1991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</row>
    <row r="86" spans="2:7" ht="18.5" x14ac:dyDescent="0.35">
      <c r="B86" s="6">
        <v>1992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</row>
    <row r="87" spans="2:7" ht="18.5" x14ac:dyDescent="0.35">
      <c r="B87" s="6">
        <v>1993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</row>
    <row r="88" spans="2:7" ht="18.5" x14ac:dyDescent="0.35">
      <c r="B88" s="6">
        <v>1994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</row>
    <row r="89" spans="2:7" ht="18.5" x14ac:dyDescent="0.35">
      <c r="B89" s="6">
        <v>1995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</row>
    <row r="90" spans="2:7" ht="18.5" x14ac:dyDescent="0.35">
      <c r="B90" s="6">
        <v>1996</v>
      </c>
      <c r="C90" s="2">
        <v>-3155.3328526550399</v>
      </c>
      <c r="D90" s="2">
        <v>233.374049957767</v>
      </c>
      <c r="E90" s="2">
        <v>-3403.3936910973098</v>
      </c>
      <c r="F90" s="2">
        <v>40.260308548899999</v>
      </c>
      <c r="G90" s="2">
        <v>533.33754716055</v>
      </c>
    </row>
    <row r="91" spans="2:7" ht="18.5" x14ac:dyDescent="0.35">
      <c r="B91" s="6">
        <v>1997</v>
      </c>
      <c r="C91" s="2">
        <v>-6450.2726259581495</v>
      </c>
      <c r="D91" s="2">
        <v>529.10991650339201</v>
      </c>
      <c r="E91" s="2">
        <v>-6815.2701313610796</v>
      </c>
      <c r="F91" s="2">
        <v>100.80111014013301</v>
      </c>
      <c r="G91" s="2">
        <v>238.78089147036701</v>
      </c>
    </row>
    <row r="92" spans="2:7" ht="18.5" x14ac:dyDescent="0.35">
      <c r="B92" s="6">
        <v>1998</v>
      </c>
      <c r="C92" s="2">
        <v>-9675.4088296107893</v>
      </c>
      <c r="D92" s="2">
        <v>793.60071399115805</v>
      </c>
      <c r="E92" s="2">
        <v>-10216.871092061099</v>
      </c>
      <c r="F92" s="2">
        <v>151.20157468936699</v>
      </c>
      <c r="G92" s="2">
        <v>356.58341754685802</v>
      </c>
    </row>
    <row r="93" spans="2:7" ht="18.5" x14ac:dyDescent="0.35">
      <c r="B93" s="6">
        <v>1999</v>
      </c>
      <c r="C93" s="2">
        <v>-12900.545245102199</v>
      </c>
      <c r="D93" s="2">
        <v>1058.13421241678</v>
      </c>
      <c r="E93" s="2">
        <v>-13622.4947469545</v>
      </c>
      <c r="F93" s="2">
        <v>201.60220937193299</v>
      </c>
      <c r="G93" s="2">
        <v>474.386728236208</v>
      </c>
    </row>
    <row r="94" spans="2:7" ht="18.5" x14ac:dyDescent="0.35">
      <c r="B94" s="6">
        <v>2000</v>
      </c>
      <c r="C94" s="2">
        <v>-16125.681388233799</v>
      </c>
      <c r="D94" s="2">
        <v>1322.7594912478801</v>
      </c>
      <c r="E94" s="2">
        <v>-17028.1185793185</v>
      </c>
      <c r="F94" s="2">
        <v>252.00275669616701</v>
      </c>
      <c r="G94" s="2">
        <v>604.88977185055796</v>
      </c>
    </row>
    <row r="95" spans="2:7" ht="18.5" x14ac:dyDescent="0.35">
      <c r="B95" s="6">
        <v>2001</v>
      </c>
      <c r="C95" s="2">
        <v>-19350.817936394698</v>
      </c>
      <c r="D95" s="2">
        <v>1587.20142798232</v>
      </c>
      <c r="E95" s="2">
        <v>-20433.742159137</v>
      </c>
      <c r="F95" s="2">
        <v>302.4032212454</v>
      </c>
      <c r="G95" s="2">
        <v>630.32872611490802</v>
      </c>
    </row>
    <row r="96" spans="2:7" ht="18.5" x14ac:dyDescent="0.35">
      <c r="B96" s="6">
        <v>2002</v>
      </c>
      <c r="C96" s="2">
        <v>-22575.954140047401</v>
      </c>
      <c r="D96" s="2">
        <v>1851.7349264079401</v>
      </c>
      <c r="E96" s="2">
        <v>-23839.365915258299</v>
      </c>
      <c r="F96" s="2">
        <v>352.80385592796699</v>
      </c>
      <c r="G96" s="2">
        <v>649.41760950806702</v>
      </c>
    </row>
    <row r="97" spans="2:7" ht="18.5" x14ac:dyDescent="0.35">
      <c r="B97" s="6">
        <v>2003</v>
      </c>
      <c r="C97" s="2">
        <v>-25799.876951472299</v>
      </c>
      <c r="D97" s="2">
        <v>2116.26845986737</v>
      </c>
      <c r="E97" s="2">
        <v>-27244.989570151702</v>
      </c>
      <c r="F97" s="2">
        <v>403.20432047719999</v>
      </c>
      <c r="G97" s="2">
        <v>671.68154760574998</v>
      </c>
    </row>
    <row r="98" spans="2:7" ht="18.5" x14ac:dyDescent="0.35">
      <c r="B98" s="7">
        <v>2004</v>
      </c>
      <c r="C98" s="2">
        <v>-29026.226662133198</v>
      </c>
      <c r="D98" s="2">
        <v>2380.80214197347</v>
      </c>
      <c r="E98" s="2">
        <v>-30650.613326273</v>
      </c>
      <c r="F98" s="2">
        <v>453.60479593476703</v>
      </c>
      <c r="G98" s="2">
        <v>693.94554987009997</v>
      </c>
    </row>
    <row r="99" spans="2:7" ht="18.5" x14ac:dyDescent="0.35">
      <c r="B99" s="6">
        <v>2005</v>
      </c>
      <c r="C99" s="2">
        <v>-32251.362940860901</v>
      </c>
      <c r="D99" s="2">
        <v>2645.3356403991002</v>
      </c>
      <c r="E99" s="2">
        <v>-34056.236906091501</v>
      </c>
      <c r="F99" s="2">
        <v>504.00543061733299</v>
      </c>
      <c r="G99" s="2">
        <v>716.20948796778305</v>
      </c>
    </row>
    <row r="100" spans="2:7" ht="18.5" x14ac:dyDescent="0.35">
      <c r="B100" s="6">
        <v>2006</v>
      </c>
      <c r="C100" s="2">
        <v>-35476.499219588499</v>
      </c>
      <c r="D100" s="2">
        <v>2909.8691738585298</v>
      </c>
      <c r="E100" s="2">
        <v>-37461.860662212799</v>
      </c>
      <c r="F100" s="2">
        <v>554.40589516656701</v>
      </c>
      <c r="G100" s="2">
        <v>738.473387527608</v>
      </c>
    </row>
    <row r="101" spans="2:7" ht="18.5" x14ac:dyDescent="0.35">
      <c r="B101" s="6">
        <v>2007</v>
      </c>
      <c r="C101" s="2">
        <v>-38701.635423241198</v>
      </c>
      <c r="D101" s="2">
        <v>3174.4028945024902</v>
      </c>
      <c r="E101" s="2">
        <v>-40867.484317106202</v>
      </c>
      <c r="F101" s="2">
        <v>604.80654075746702</v>
      </c>
      <c r="G101" s="2">
        <v>760.73738979195798</v>
      </c>
    </row>
    <row r="102" spans="2:7" ht="18.5" x14ac:dyDescent="0.35">
      <c r="B102" s="6">
        <v>2008</v>
      </c>
      <c r="C102" s="2">
        <v>-41926.771566372801</v>
      </c>
      <c r="D102" s="2">
        <v>3438.93625900192</v>
      </c>
      <c r="E102" s="2">
        <v>-44273.108074395299</v>
      </c>
      <c r="F102" s="2">
        <v>655.20689934003303</v>
      </c>
      <c r="G102" s="2">
        <v>783.00126372297495</v>
      </c>
    </row>
    <row r="103" spans="2:7" ht="18.5" x14ac:dyDescent="0.35">
      <c r="B103" s="6">
        <v>2009</v>
      </c>
      <c r="C103" s="2">
        <v>-45151.908316631903</v>
      </c>
      <c r="D103" s="2">
        <v>3703.4696932608799</v>
      </c>
      <c r="E103" s="2">
        <v>-47678.731729288702</v>
      </c>
      <c r="F103" s="2">
        <v>705.60743575593301</v>
      </c>
      <c r="G103" s="2">
        <v>805.26520182065804</v>
      </c>
    </row>
    <row r="104" spans="2:7" ht="18.5" x14ac:dyDescent="0.35">
      <c r="B104" s="6">
        <v>2010</v>
      </c>
      <c r="C104" s="2">
        <v>-48377.0445599901</v>
      </c>
      <c r="D104" s="2">
        <v>3976.7149353189502</v>
      </c>
      <c r="E104" s="2">
        <v>-51084.35548541</v>
      </c>
      <c r="F104" s="2">
        <v>756.00808134683302</v>
      </c>
      <c r="G104" s="2">
        <v>827.52920408500802</v>
      </c>
    </row>
    <row r="105" spans="2:7" ht="18.5" x14ac:dyDescent="0.35">
      <c r="B105" s="6">
        <v>2011</v>
      </c>
      <c r="C105" s="2">
        <v>-51602.180799012101</v>
      </c>
      <c r="D105" s="2">
        <v>4232.5369473642704</v>
      </c>
      <c r="E105" s="2">
        <v>-54489.979140303498</v>
      </c>
      <c r="F105" s="2">
        <v>806.40854589606704</v>
      </c>
      <c r="G105" s="2">
        <v>849.79310364483297</v>
      </c>
    </row>
    <row r="106" spans="2:7" ht="18.5" x14ac:dyDescent="0.35">
      <c r="B106" s="6">
        <v>2012</v>
      </c>
      <c r="C106" s="2">
        <v>-54827.317117445396</v>
      </c>
      <c r="D106" s="2">
        <v>4497.0704457899001</v>
      </c>
      <c r="E106" s="2">
        <v>-57895.602821349799</v>
      </c>
      <c r="F106" s="2">
        <v>856.809180578633</v>
      </c>
      <c r="G106" s="2">
        <v>872.05704174251696</v>
      </c>
    </row>
    <row r="107" spans="2:7" ht="18.5" x14ac:dyDescent="0.35">
      <c r="B107" s="6">
        <v>2013</v>
      </c>
      <c r="C107" s="2">
        <v>-58052.453561734001</v>
      </c>
      <c r="D107" s="2">
        <v>4761.6041278960001</v>
      </c>
      <c r="E107" s="2">
        <v>-61301.226476243202</v>
      </c>
      <c r="F107" s="2">
        <v>907.20965603620004</v>
      </c>
      <c r="G107" s="2">
        <v>894.32104400686706</v>
      </c>
    </row>
    <row r="108" spans="2:7" ht="18.5" x14ac:dyDescent="0.35">
      <c r="B108" s="6">
        <v>2014</v>
      </c>
      <c r="C108" s="2">
        <v>-61277.589639531303</v>
      </c>
      <c r="D108" s="2">
        <v>5026.1376613554303</v>
      </c>
      <c r="E108" s="2">
        <v>-64706.850232364501</v>
      </c>
      <c r="F108" s="2">
        <v>957.61012058543304</v>
      </c>
      <c r="G108" s="2">
        <v>916.58498210455002</v>
      </c>
    </row>
    <row r="109" spans="2:7" ht="18.5" x14ac:dyDescent="0.35">
      <c r="B109" s="6">
        <v>2015</v>
      </c>
      <c r="C109" s="2">
        <v>-64502.725803478301</v>
      </c>
      <c r="D109" s="2">
        <v>5290.6711597810599</v>
      </c>
      <c r="E109" s="2">
        <v>-68112.473887258006</v>
      </c>
      <c r="F109" s="2">
        <v>1008.010755268</v>
      </c>
      <c r="G109" s="2">
        <v>938.84881749770796</v>
      </c>
    </row>
    <row r="110" spans="2:7" ht="18.5" x14ac:dyDescent="0.35">
      <c r="B110" s="6">
        <v>2016</v>
      </c>
      <c r="C110" s="2">
        <v>-67727.862391344795</v>
      </c>
      <c r="D110" s="2">
        <v>5555.2224449488203</v>
      </c>
      <c r="E110" s="2">
        <v>-71518.097568304307</v>
      </c>
      <c r="F110" s="2">
        <v>1058.4112198172299</v>
      </c>
      <c r="G110" s="2">
        <v>718.423624387058</v>
      </c>
    </row>
    <row r="111" spans="2:7" ht="18.5" x14ac:dyDescent="0.35">
      <c r="B111" s="6">
        <v>2017</v>
      </c>
      <c r="C111" s="2">
        <v>-70952.998494770902</v>
      </c>
      <c r="D111" s="2">
        <v>5819.7570454265897</v>
      </c>
      <c r="E111" s="2">
        <v>-74923.721299440498</v>
      </c>
      <c r="F111" s="2">
        <v>1108.81176714147</v>
      </c>
      <c r="G111" s="2">
        <v>752.63429600140796</v>
      </c>
    </row>
    <row r="112" spans="2:7" ht="18.5" x14ac:dyDescent="0.35">
      <c r="B112" s="6">
        <v>2018</v>
      </c>
      <c r="C112" s="2">
        <v>-74178.134949967905</v>
      </c>
      <c r="D112" s="2">
        <v>6084.2913886522101</v>
      </c>
      <c r="E112" s="2">
        <v>-78329.345055561804</v>
      </c>
      <c r="F112" s="2">
        <v>1159.2124018240299</v>
      </c>
      <c r="G112" s="2">
        <v>786.84504269075796</v>
      </c>
    </row>
    <row r="113" spans="2:7" ht="18.5" x14ac:dyDescent="0.35">
      <c r="B113" s="6">
        <v>2019</v>
      </c>
      <c r="C113" s="2">
        <v>-77403.271113914903</v>
      </c>
      <c r="D113" s="2">
        <v>6348.8256933399798</v>
      </c>
      <c r="E113" s="2">
        <v>-81734.968710455199</v>
      </c>
      <c r="F113" s="2">
        <v>1209.61286637327</v>
      </c>
      <c r="G113" s="2">
        <v>821.05554743391701</v>
      </c>
    </row>
    <row r="114" spans="2:7" ht="18.5" x14ac:dyDescent="0.35">
      <c r="B114" s="6">
        <v>2020</v>
      </c>
      <c r="C114" s="2">
        <v>-80628.407536220402</v>
      </c>
      <c r="D114" s="2">
        <v>6613.3603323556099</v>
      </c>
      <c r="E114" s="2">
        <v>-85140.592391501501</v>
      </c>
      <c r="F114" s="2">
        <v>1260.01351196417</v>
      </c>
      <c r="G114" s="2">
        <v>855.26635828993301</v>
      </c>
    </row>
    <row r="115" spans="2:7" ht="18.5" x14ac:dyDescent="0.35">
      <c r="B115" s="6">
        <v>2021</v>
      </c>
      <c r="C115" s="2">
        <v>-83853.543739872999</v>
      </c>
      <c r="D115" s="2">
        <v>6877.8946370433696</v>
      </c>
      <c r="E115" s="2">
        <v>-88546.216046394999</v>
      </c>
      <c r="F115" s="2">
        <v>1310.4139765134</v>
      </c>
      <c r="G115" s="2">
        <v>889.47690157094996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4"/>
  <sheetViews>
    <sheetView workbookViewId="0">
      <selection activeCell="J20" sqref="J20"/>
    </sheetView>
  </sheetViews>
  <sheetFormatPr defaultRowHeight="14.5" x14ac:dyDescent="0.35"/>
  <cols>
    <col min="1" max="1" width="25" customWidth="1"/>
  </cols>
  <sheetData>
    <row r="1" spans="1:33" ht="18.649999999999999" customHeight="1" x14ac:dyDescent="0.35">
      <c r="A1" s="5" t="s">
        <v>0</v>
      </c>
      <c r="B1" s="6">
        <v>1990</v>
      </c>
      <c r="C1" s="6">
        <v>1991</v>
      </c>
      <c r="D1" s="6">
        <v>1992</v>
      </c>
      <c r="E1" s="6">
        <v>1993</v>
      </c>
      <c r="F1" s="6">
        <v>1994</v>
      </c>
      <c r="G1" s="6">
        <v>1995</v>
      </c>
      <c r="H1" s="6">
        <v>1996</v>
      </c>
      <c r="I1" s="6">
        <v>1997</v>
      </c>
      <c r="J1" s="6">
        <v>1998</v>
      </c>
      <c r="K1" s="6">
        <v>1999</v>
      </c>
      <c r="L1" s="6">
        <v>2000</v>
      </c>
      <c r="M1" s="6">
        <v>2001</v>
      </c>
      <c r="N1" s="6">
        <v>2002</v>
      </c>
      <c r="O1" s="6">
        <v>2003</v>
      </c>
      <c r="P1" s="7">
        <v>2004</v>
      </c>
      <c r="Q1" s="6">
        <v>2005</v>
      </c>
      <c r="R1" s="6">
        <v>2006</v>
      </c>
      <c r="S1" s="6">
        <v>2007</v>
      </c>
      <c r="T1" s="6">
        <v>2008</v>
      </c>
      <c r="U1" s="6">
        <v>2009</v>
      </c>
      <c r="V1" s="6">
        <v>2010</v>
      </c>
      <c r="W1" s="6">
        <v>2011</v>
      </c>
      <c r="X1" s="6">
        <v>2012</v>
      </c>
      <c r="Y1" s="6">
        <v>2013</v>
      </c>
      <c r="Z1" s="6">
        <v>2014</v>
      </c>
      <c r="AA1" s="6">
        <v>2015</v>
      </c>
      <c r="AB1" s="6">
        <v>2016</v>
      </c>
      <c r="AC1" s="6">
        <v>2017</v>
      </c>
      <c r="AD1" s="6">
        <v>2018</v>
      </c>
      <c r="AE1" s="6">
        <v>2019</v>
      </c>
      <c r="AF1" s="6">
        <v>2020</v>
      </c>
      <c r="AG1" s="6">
        <v>2021</v>
      </c>
    </row>
    <row r="2" spans="1:33" x14ac:dyDescent="0.35">
      <c r="A2" s="3" t="s">
        <v>37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-187394.403020898</v>
      </c>
      <c r="I2" s="2">
        <v>-189008.36829769899</v>
      </c>
      <c r="J2" s="2">
        <v>-190611.055871199</v>
      </c>
      <c r="K2" s="2">
        <v>-193813.112619747</v>
      </c>
      <c r="L2" s="2">
        <v>-193816.430951688</v>
      </c>
      <c r="M2" s="2">
        <v>-195419.11882833601</v>
      </c>
      <c r="N2" s="2">
        <v>-196580.633024385</v>
      </c>
      <c r="O2" s="2">
        <v>-196720.72053733701</v>
      </c>
      <c r="P2" s="2">
        <v>-200227.18140167001</v>
      </c>
      <c r="Q2" s="2">
        <v>-201829.869048591</v>
      </c>
      <c r="R2" s="2">
        <v>-203432.55665746101</v>
      </c>
      <c r="S2" s="2">
        <v>-205035.24405283699</v>
      </c>
      <c r="T2" s="2">
        <v>-206637.93156581599</v>
      </c>
      <c r="U2" s="2">
        <v>-208240.619646217</v>
      </c>
      <c r="V2" s="2">
        <v>-209843.30708129899</v>
      </c>
      <c r="W2" s="2">
        <v>-211445.99465046299</v>
      </c>
      <c r="X2" s="2">
        <v>-213048.68233708901</v>
      </c>
      <c r="Y2" s="2">
        <v>-214651.36993505</v>
      </c>
      <c r="Z2" s="2">
        <v>-216254.057381041</v>
      </c>
      <c r="AA2" s="2">
        <v>-217856.74487071799</v>
      </c>
      <c r="AB2" s="2">
        <v>-219459.432787072</v>
      </c>
      <c r="AC2" s="2">
        <v>-221062.12008387601</v>
      </c>
      <c r="AD2" s="2">
        <v>-220321.325755506</v>
      </c>
      <c r="AE2" s="2">
        <v>-224267.495401355</v>
      </c>
      <c r="AF2" s="2">
        <v>-225870.182975679</v>
      </c>
      <c r="AG2" s="2">
        <v>-225394.504603985</v>
      </c>
    </row>
    <row r="3" spans="1:33" x14ac:dyDescent="0.35">
      <c r="A3" s="3" t="s">
        <v>38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25208.847398642702</v>
      </c>
      <c r="I3" s="2">
        <v>24339.644305422</v>
      </c>
      <c r="J3" s="2">
        <v>23439.336118474701</v>
      </c>
      <c r="K3" s="2">
        <v>22539.070547985299</v>
      </c>
      <c r="L3" s="2">
        <v>21633.441297907499</v>
      </c>
      <c r="M3" s="2">
        <v>20738.539718229498</v>
      </c>
      <c r="N3" s="2">
        <v>19838.274206591199</v>
      </c>
      <c r="O3" s="2">
        <v>18938.008671135602</v>
      </c>
      <c r="P3" s="2">
        <v>18037.743394435402</v>
      </c>
      <c r="Q3" s="2">
        <v>17137.477806346</v>
      </c>
      <c r="R3" s="2">
        <v>16237.2123553703</v>
      </c>
      <c r="S3" s="2">
        <v>15336.947117207999</v>
      </c>
      <c r="T3" s="2">
        <v>14434.6805039924</v>
      </c>
      <c r="U3" s="2">
        <v>13534.414851736199</v>
      </c>
      <c r="V3" s="2">
        <v>12644.8620437881</v>
      </c>
      <c r="W3" s="2">
        <v>11735.885071398299</v>
      </c>
      <c r="X3" s="2">
        <v>10835.619483308899</v>
      </c>
      <c r="Y3" s="2">
        <v>9935.3542066086902</v>
      </c>
      <c r="Z3" s="2">
        <v>9035.0886711530493</v>
      </c>
      <c r="AA3" s="2">
        <v>8134.8231595147899</v>
      </c>
      <c r="AB3" s="2">
        <v>7234.5753581674799</v>
      </c>
      <c r="AC3" s="2">
        <v>6334.31099983898</v>
      </c>
      <c r="AD3" s="2">
        <v>4310.0501635788696</v>
      </c>
      <c r="AE3" s="2">
        <v>4533.7815944022204</v>
      </c>
      <c r="AF3" s="2">
        <v>3633.5172570115801</v>
      </c>
      <c r="AG3" s="2">
        <v>2733.2524927842701</v>
      </c>
    </row>
    <row r="4" spans="1:33" x14ac:dyDescent="0.35">
      <c r="A4" s="3" t="s">
        <v>39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-26980.696261439702</v>
      </c>
      <c r="I4" s="2">
        <v>-30046.023574893901</v>
      </c>
      <c r="J4" s="2">
        <v>-33101.075408784302</v>
      </c>
      <c r="K4" s="2">
        <v>-36160.149936868103</v>
      </c>
      <c r="L4" s="2">
        <v>-39219.224642422603</v>
      </c>
      <c r="M4" s="2">
        <v>-42278.299095431401</v>
      </c>
      <c r="N4" s="2">
        <v>-45337.373724743098</v>
      </c>
      <c r="O4" s="2">
        <v>-48396.4482528269</v>
      </c>
      <c r="P4" s="2">
        <v>-51455.522882138597</v>
      </c>
      <c r="Q4" s="2">
        <v>-54514.597335147497</v>
      </c>
      <c r="R4" s="2">
        <v>-57573.671964459201</v>
      </c>
      <c r="S4" s="2">
        <v>-60632.746492543003</v>
      </c>
      <c r="T4" s="2">
        <v>-63691.821123022499</v>
      </c>
      <c r="U4" s="2">
        <v>-66750.895651106301</v>
      </c>
      <c r="V4" s="2">
        <v>-69809.970280417998</v>
      </c>
      <c r="W4" s="2">
        <v>-72869.044808501902</v>
      </c>
      <c r="X4" s="2">
        <v>-75928.119362738595</v>
      </c>
      <c r="Y4" s="2">
        <v>-78987.193890822396</v>
      </c>
      <c r="Z4" s="2">
        <v>-82046.268520134094</v>
      </c>
      <c r="AA4" s="2">
        <v>-85105.343048217997</v>
      </c>
      <c r="AB4" s="2">
        <v>-88164.417602454705</v>
      </c>
      <c r="AC4" s="2">
        <v>-91223.4922067812</v>
      </c>
      <c r="AD4" s="2">
        <v>-94282.566836092999</v>
      </c>
      <c r="AE4" s="2">
        <v>-97341.641364176801</v>
      </c>
      <c r="AF4" s="2">
        <v>-100400.715918414</v>
      </c>
      <c r="AG4" s="2">
        <v>-103459.79044649701</v>
      </c>
    </row>
    <row r="5" spans="1:33" x14ac:dyDescent="0.35">
      <c r="A5" s="3" t="s">
        <v>40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40.260308548899999</v>
      </c>
      <c r="I5" s="2">
        <v>100.80111014013301</v>
      </c>
      <c r="J5" s="2">
        <v>151.20157468936699</v>
      </c>
      <c r="K5" s="2">
        <v>201.60220937193299</v>
      </c>
      <c r="L5" s="2">
        <v>252.00275669616701</v>
      </c>
      <c r="M5" s="2">
        <v>302.4032212454</v>
      </c>
      <c r="N5" s="2">
        <v>352.80385592796699</v>
      </c>
      <c r="O5" s="2">
        <v>403.20432047719999</v>
      </c>
      <c r="P5" s="2">
        <v>453.60479593476703</v>
      </c>
      <c r="Q5" s="2">
        <v>504.00543061733299</v>
      </c>
      <c r="R5" s="2">
        <v>554.40589516656701</v>
      </c>
      <c r="S5" s="2">
        <v>604.80654075746702</v>
      </c>
      <c r="T5" s="2">
        <v>655.20689934003303</v>
      </c>
      <c r="U5" s="2">
        <v>705.60743575593301</v>
      </c>
      <c r="V5" s="2">
        <v>756.00808134683302</v>
      </c>
      <c r="W5" s="2">
        <v>806.40854589606704</v>
      </c>
      <c r="X5" s="2">
        <v>856.809180578633</v>
      </c>
      <c r="Y5" s="2">
        <v>907.20965603620004</v>
      </c>
      <c r="Z5" s="2">
        <v>957.61012058543304</v>
      </c>
      <c r="AA5" s="2">
        <v>1008.010755268</v>
      </c>
      <c r="AB5" s="2">
        <v>1058.4112198172299</v>
      </c>
      <c r="AC5" s="2">
        <v>1108.81176714147</v>
      </c>
      <c r="AD5" s="2">
        <v>1159.2124018240299</v>
      </c>
      <c r="AE5" s="2">
        <v>1209.61286637327</v>
      </c>
      <c r="AF5" s="2">
        <v>1260.01351196417</v>
      </c>
      <c r="AG5" s="2">
        <v>1310.4139765134</v>
      </c>
    </row>
    <row r="6" spans="1:33" x14ac:dyDescent="0.35">
      <c r="A6" s="3" t="s">
        <v>42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533.33754716055</v>
      </c>
      <c r="I6" s="2">
        <v>238.78089147036701</v>
      </c>
      <c r="J6" s="2">
        <v>356.58341754685802</v>
      </c>
      <c r="K6" s="2">
        <v>474.386728236208</v>
      </c>
      <c r="L6" s="2">
        <v>604.88977185055796</v>
      </c>
      <c r="M6" s="2">
        <v>630.32872611490802</v>
      </c>
      <c r="N6" s="2">
        <v>649.41760950806702</v>
      </c>
      <c r="O6" s="2">
        <v>671.68154760574998</v>
      </c>
      <c r="P6" s="2">
        <v>693.94554987009997</v>
      </c>
      <c r="Q6" s="2">
        <v>716.20948796778305</v>
      </c>
      <c r="R6" s="2">
        <v>738.473387527608</v>
      </c>
      <c r="S6" s="2">
        <v>760.73738979195798</v>
      </c>
      <c r="T6" s="2">
        <v>783.00126372297495</v>
      </c>
      <c r="U6" s="2">
        <v>805.26520182065804</v>
      </c>
      <c r="V6" s="2">
        <v>827.52920408500802</v>
      </c>
      <c r="W6" s="2">
        <v>849.79310364483297</v>
      </c>
      <c r="X6" s="2">
        <v>872.05704174251696</v>
      </c>
      <c r="Y6" s="2">
        <v>894.32104400686706</v>
      </c>
      <c r="Z6" s="2">
        <v>916.58498210455002</v>
      </c>
      <c r="AA6" s="2">
        <v>938.84881749770796</v>
      </c>
      <c r="AB6" s="2">
        <v>718.423624387058</v>
      </c>
      <c r="AC6" s="2">
        <v>752.63429600140796</v>
      </c>
      <c r="AD6" s="2">
        <v>786.84504269075796</v>
      </c>
      <c r="AE6" s="2">
        <v>821.05554743391701</v>
      </c>
      <c r="AF6" s="2">
        <v>855.26635828993301</v>
      </c>
      <c r="AG6" s="2">
        <v>889.47690157094996</v>
      </c>
    </row>
    <row r="7" spans="1:33" x14ac:dyDescent="0.35">
      <c r="A7" s="3" t="s">
        <v>43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>
        <v>38.408761320882199</v>
      </c>
      <c r="O7">
        <v>50.034230727265999</v>
      </c>
      <c r="P7">
        <v>42.3260400009096</v>
      </c>
      <c r="Q7">
        <v>46.135267454679607</v>
      </c>
      <c r="R7">
        <v>30.077892467684201</v>
      </c>
      <c r="S7">
        <v>48.793027005339603</v>
      </c>
      <c r="T7">
        <v>40.775777480703994</v>
      </c>
      <c r="U7">
        <v>42.244641836195797</v>
      </c>
      <c r="V7">
        <v>45.184287720777398</v>
      </c>
      <c r="W7">
        <v>33.355784105698397</v>
      </c>
      <c r="X7">
        <v>39.047277276697201</v>
      </c>
      <c r="Y7">
        <v>32.476572817625801</v>
      </c>
      <c r="Z7">
        <v>29.472906886135601</v>
      </c>
      <c r="AA7">
        <v>34.837652459214603</v>
      </c>
      <c r="AB7">
        <v>36.685716053568399</v>
      </c>
      <c r="AC7">
        <v>2.6659847627702002</v>
      </c>
      <c r="AD7">
        <v>27.138196440849402</v>
      </c>
      <c r="AE7">
        <v>26.630118254960401</v>
      </c>
      <c r="AF7">
        <v>26.300864271314399</v>
      </c>
      <c r="AG7">
        <v>25.631195152034401</v>
      </c>
    </row>
    <row r="8" spans="1:33" x14ac:dyDescent="0.35">
      <c r="A8" s="3" t="s">
        <v>41</v>
      </c>
      <c r="B8" s="4">
        <v>0</v>
      </c>
      <c r="C8" s="4">
        <v>0</v>
      </c>
      <c r="D8" s="4">
        <v>0</v>
      </c>
      <c r="E8" s="4">
        <v>0</v>
      </c>
      <c r="F8" s="4">
        <v>-22.666478252071101</v>
      </c>
      <c r="G8" s="4">
        <v>-18.544070420543001</v>
      </c>
      <c r="H8" s="4">
        <v>-15.5761473330749</v>
      </c>
      <c r="I8" s="4">
        <v>-13.4934461243902</v>
      </c>
      <c r="J8" s="4">
        <v>-11.875243133097699</v>
      </c>
      <c r="K8" s="4">
        <v>-10.8518011086817</v>
      </c>
      <c r="L8" s="4">
        <v>-10.281116657774</v>
      </c>
      <c r="M8" s="4">
        <v>-9.5137466065643803</v>
      </c>
      <c r="N8" s="4">
        <v>-8.8561632601922593</v>
      </c>
      <c r="O8" s="4">
        <v>-8.7275857664099004</v>
      </c>
      <c r="P8" s="10">
        <v>-8.6168324737154798</v>
      </c>
      <c r="Q8" s="4">
        <v>-8.6379901951695501</v>
      </c>
      <c r="R8" s="4">
        <v>-8.4783889374812098</v>
      </c>
      <c r="S8" s="4">
        <v>-9.14617283227199</v>
      </c>
      <c r="T8" s="4">
        <v>-7.9495320874375501</v>
      </c>
      <c r="U8" s="4">
        <v>-43.501023910896002</v>
      </c>
      <c r="V8" s="4">
        <v>-32.250124797719799</v>
      </c>
      <c r="W8" s="4">
        <v>-24.8855277543589</v>
      </c>
      <c r="X8" s="4">
        <v>-28.768367875905799</v>
      </c>
      <c r="Y8" s="4">
        <v>-36.026566871874799</v>
      </c>
      <c r="Z8" s="4">
        <v>-32.980703398981902</v>
      </c>
      <c r="AA8" s="4">
        <v>-52.998649588698797</v>
      </c>
      <c r="AB8" s="4">
        <v>-49.703909057258002</v>
      </c>
      <c r="AC8" s="4">
        <v>-51.5078162061182</v>
      </c>
      <c r="AD8" s="4">
        <v>-58.449968663640902</v>
      </c>
      <c r="AE8" s="4">
        <v>-76.492624701582798</v>
      </c>
      <c r="AF8" s="4">
        <v>-99.894938055545893</v>
      </c>
      <c r="AG8" s="4">
        <v>-161.27911361477501</v>
      </c>
    </row>
    <row r="12" spans="1:33" x14ac:dyDescent="0.35">
      <c r="B12" s="5" t="s">
        <v>0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42</v>
      </c>
      <c r="H12" s="3" t="s">
        <v>43</v>
      </c>
      <c r="I12" s="3" t="s">
        <v>41</v>
      </c>
    </row>
    <row r="13" spans="1:33" ht="18.5" x14ac:dyDescent="0.35">
      <c r="B13" s="6">
        <v>1990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4">
        <v>0</v>
      </c>
    </row>
    <row r="14" spans="1:33" ht="18.5" x14ac:dyDescent="0.35">
      <c r="B14" s="6">
        <v>1991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4">
        <v>0</v>
      </c>
    </row>
    <row r="15" spans="1:33" ht="18.5" x14ac:dyDescent="0.35">
      <c r="B15" s="6">
        <v>1992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4">
        <v>0</v>
      </c>
    </row>
    <row r="16" spans="1:33" ht="18.5" x14ac:dyDescent="0.35">
      <c r="B16" s="6">
        <v>1993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4">
        <v>0</v>
      </c>
    </row>
    <row r="17" spans="2:9" ht="18.5" x14ac:dyDescent="0.35">
      <c r="B17" s="6">
        <v>1994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4">
        <v>-22.666478252071101</v>
      </c>
    </row>
    <row r="18" spans="2:9" ht="18.5" x14ac:dyDescent="0.35">
      <c r="B18" s="6">
        <v>1995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4">
        <v>-18.544070420543001</v>
      </c>
    </row>
    <row r="19" spans="2:9" ht="18.5" x14ac:dyDescent="0.35">
      <c r="B19" s="6">
        <v>1996</v>
      </c>
      <c r="C19" s="2">
        <v>-187394.403020898</v>
      </c>
      <c r="D19" s="2">
        <v>25208.847398642702</v>
      </c>
      <c r="E19" s="2">
        <v>-26980.696261439702</v>
      </c>
      <c r="F19" s="2">
        <v>40.260308548899999</v>
      </c>
      <c r="G19" s="2">
        <v>533.33754716055</v>
      </c>
      <c r="H19" s="2">
        <v>0</v>
      </c>
      <c r="I19" s="4">
        <v>-15.5761473330749</v>
      </c>
    </row>
    <row r="20" spans="2:9" ht="18.5" x14ac:dyDescent="0.35">
      <c r="B20" s="6">
        <v>1997</v>
      </c>
      <c r="C20" s="2">
        <v>-189008.36829769899</v>
      </c>
      <c r="D20" s="2">
        <v>24339.644305422</v>
      </c>
      <c r="E20" s="2">
        <v>-30046.023574893901</v>
      </c>
      <c r="F20" s="2">
        <v>100.80111014013301</v>
      </c>
      <c r="G20" s="2">
        <v>238.78089147036701</v>
      </c>
      <c r="H20" s="2">
        <v>0</v>
      </c>
      <c r="I20" s="4">
        <v>-13.4934461243902</v>
      </c>
    </row>
    <row r="21" spans="2:9" ht="18.5" x14ac:dyDescent="0.35">
      <c r="B21" s="6">
        <v>1998</v>
      </c>
      <c r="C21" s="2">
        <v>-190611.055871199</v>
      </c>
      <c r="D21" s="2">
        <v>23439.336118474701</v>
      </c>
      <c r="E21" s="2">
        <v>-33101.075408784302</v>
      </c>
      <c r="F21" s="2">
        <v>151.20157468936699</v>
      </c>
      <c r="G21" s="2">
        <v>356.58341754685802</v>
      </c>
      <c r="H21" s="2">
        <v>0</v>
      </c>
      <c r="I21" s="4">
        <v>-11.875243133097699</v>
      </c>
    </row>
    <row r="22" spans="2:9" ht="18.5" x14ac:dyDescent="0.35">
      <c r="B22" s="6">
        <v>1999</v>
      </c>
      <c r="C22" s="2">
        <v>-193813.112619747</v>
      </c>
      <c r="D22" s="2">
        <v>22539.070547985299</v>
      </c>
      <c r="E22" s="2">
        <v>-36160.149936868103</v>
      </c>
      <c r="F22" s="2">
        <v>201.60220937193299</v>
      </c>
      <c r="G22" s="2">
        <v>474.386728236208</v>
      </c>
      <c r="H22" s="2">
        <v>0</v>
      </c>
      <c r="I22" s="4">
        <v>-10.8518011086817</v>
      </c>
    </row>
    <row r="23" spans="2:9" ht="18.5" x14ac:dyDescent="0.35">
      <c r="B23" s="6">
        <v>2000</v>
      </c>
      <c r="C23" s="2">
        <v>-193816.430951688</v>
      </c>
      <c r="D23" s="2">
        <v>21633.441297907499</v>
      </c>
      <c r="E23" s="2">
        <v>-39219.224642422603</v>
      </c>
      <c r="F23" s="2">
        <v>252.00275669616701</v>
      </c>
      <c r="G23" s="2">
        <v>604.88977185055796</v>
      </c>
      <c r="H23" s="2">
        <v>0</v>
      </c>
      <c r="I23" s="4">
        <v>-10.281116657774</v>
      </c>
    </row>
    <row r="24" spans="2:9" ht="18.5" x14ac:dyDescent="0.35">
      <c r="B24" s="6">
        <v>2001</v>
      </c>
      <c r="C24" s="2">
        <v>-195419.11882833601</v>
      </c>
      <c r="D24" s="2">
        <v>20738.539718229498</v>
      </c>
      <c r="E24" s="2">
        <v>-42278.299095431401</v>
      </c>
      <c r="F24" s="2">
        <v>302.4032212454</v>
      </c>
      <c r="G24" s="2">
        <v>630.32872611490802</v>
      </c>
      <c r="H24" s="2">
        <v>0</v>
      </c>
      <c r="I24" s="4">
        <v>-9.5137466065643803</v>
      </c>
    </row>
    <row r="25" spans="2:9" ht="18.5" x14ac:dyDescent="0.35">
      <c r="B25" s="6">
        <v>2002</v>
      </c>
      <c r="C25" s="2">
        <v>-196580.633024385</v>
      </c>
      <c r="D25" s="2">
        <v>19838.274206591199</v>
      </c>
      <c r="E25" s="2">
        <v>-45337.373724743098</v>
      </c>
      <c r="F25" s="2">
        <v>352.80385592796699</v>
      </c>
      <c r="G25" s="2">
        <v>649.41760950806702</v>
      </c>
      <c r="H25">
        <v>38.408761320882199</v>
      </c>
      <c r="I25" s="4">
        <v>-8.8561632601922593</v>
      </c>
    </row>
    <row r="26" spans="2:9" ht="18.5" x14ac:dyDescent="0.35">
      <c r="B26" s="6">
        <v>2003</v>
      </c>
      <c r="C26" s="2">
        <v>-196720.72053733701</v>
      </c>
      <c r="D26" s="2">
        <v>18938.008671135602</v>
      </c>
      <c r="E26" s="2">
        <v>-48396.4482528269</v>
      </c>
      <c r="F26" s="2">
        <v>403.20432047719999</v>
      </c>
      <c r="G26" s="2">
        <v>671.68154760574998</v>
      </c>
      <c r="H26">
        <v>50.034230727265999</v>
      </c>
      <c r="I26" s="4">
        <v>-8.7275857664099004</v>
      </c>
    </row>
    <row r="27" spans="2:9" ht="18.5" x14ac:dyDescent="0.35">
      <c r="B27" s="7">
        <v>2004</v>
      </c>
      <c r="C27" s="2">
        <v>-200227.18140167001</v>
      </c>
      <c r="D27" s="2">
        <v>18037.743394435402</v>
      </c>
      <c r="E27" s="2">
        <v>-51455.522882138597</v>
      </c>
      <c r="F27" s="2">
        <v>453.60479593476703</v>
      </c>
      <c r="G27" s="2">
        <v>693.94554987009997</v>
      </c>
      <c r="H27">
        <v>42.3260400009096</v>
      </c>
      <c r="I27" s="10">
        <v>-8.6168324737154798</v>
      </c>
    </row>
    <row r="28" spans="2:9" ht="18.5" x14ac:dyDescent="0.35">
      <c r="B28" s="6">
        <v>2005</v>
      </c>
      <c r="C28" s="2">
        <v>-201829.869048591</v>
      </c>
      <c r="D28" s="2">
        <v>17137.477806346</v>
      </c>
      <c r="E28" s="2">
        <v>-54514.597335147497</v>
      </c>
      <c r="F28" s="2">
        <v>504.00543061733299</v>
      </c>
      <c r="G28" s="2">
        <v>716.20948796778305</v>
      </c>
      <c r="H28">
        <v>46.135267454679607</v>
      </c>
      <c r="I28" s="4">
        <v>-8.6379901951695501</v>
      </c>
    </row>
    <row r="29" spans="2:9" ht="18.5" x14ac:dyDescent="0.35">
      <c r="B29" s="6">
        <v>2006</v>
      </c>
      <c r="C29" s="2">
        <v>-203432.55665746101</v>
      </c>
      <c r="D29" s="2">
        <v>16237.2123553703</v>
      </c>
      <c r="E29" s="2">
        <v>-57573.671964459201</v>
      </c>
      <c r="F29" s="2">
        <v>554.40589516656701</v>
      </c>
      <c r="G29" s="2">
        <v>738.473387527608</v>
      </c>
      <c r="H29">
        <v>30.077892467684201</v>
      </c>
      <c r="I29" s="4">
        <v>-8.4783889374812098</v>
      </c>
    </row>
    <row r="30" spans="2:9" ht="18.5" x14ac:dyDescent="0.35">
      <c r="B30" s="6">
        <v>2007</v>
      </c>
      <c r="C30" s="2">
        <v>-205035.24405283699</v>
      </c>
      <c r="D30" s="2">
        <v>15336.947117207999</v>
      </c>
      <c r="E30" s="2">
        <v>-60632.746492543003</v>
      </c>
      <c r="F30" s="2">
        <v>604.80654075746702</v>
      </c>
      <c r="G30" s="2">
        <v>760.73738979195798</v>
      </c>
      <c r="H30">
        <v>48.793027005339603</v>
      </c>
      <c r="I30" s="4">
        <v>-9.14617283227199</v>
      </c>
    </row>
    <row r="31" spans="2:9" ht="18.5" x14ac:dyDescent="0.35">
      <c r="B31" s="6">
        <v>2008</v>
      </c>
      <c r="C31" s="2">
        <v>-206637.93156581599</v>
      </c>
      <c r="D31" s="2">
        <v>14434.6805039924</v>
      </c>
      <c r="E31" s="2">
        <v>-63691.821123022499</v>
      </c>
      <c r="F31" s="2">
        <v>655.20689934003303</v>
      </c>
      <c r="G31" s="2">
        <v>783.00126372297495</v>
      </c>
      <c r="H31">
        <v>40.775777480703994</v>
      </c>
      <c r="I31" s="4">
        <v>-7.9495320874375501</v>
      </c>
    </row>
    <row r="32" spans="2:9" ht="18.5" x14ac:dyDescent="0.35">
      <c r="B32" s="6">
        <v>2009</v>
      </c>
      <c r="C32" s="2">
        <v>-208240.619646217</v>
      </c>
      <c r="D32" s="2">
        <v>13534.414851736199</v>
      </c>
      <c r="E32" s="2">
        <v>-66750.895651106301</v>
      </c>
      <c r="F32" s="2">
        <v>705.60743575593301</v>
      </c>
      <c r="G32" s="2">
        <v>805.26520182065804</v>
      </c>
      <c r="H32">
        <v>42.244641836195797</v>
      </c>
      <c r="I32" s="4">
        <v>-43.501023910896002</v>
      </c>
    </row>
    <row r="33" spans="2:9" ht="18.5" x14ac:dyDescent="0.35">
      <c r="B33" s="6">
        <v>2010</v>
      </c>
      <c r="C33" s="2">
        <v>-209843.30708129899</v>
      </c>
      <c r="D33" s="2">
        <v>12644.8620437881</v>
      </c>
      <c r="E33" s="2">
        <v>-69809.970280417998</v>
      </c>
      <c r="F33" s="2">
        <v>756.00808134683302</v>
      </c>
      <c r="G33" s="2">
        <v>827.52920408500802</v>
      </c>
      <c r="H33">
        <v>45.184287720777398</v>
      </c>
      <c r="I33" s="4">
        <v>-32.250124797719799</v>
      </c>
    </row>
    <row r="34" spans="2:9" ht="18.5" x14ac:dyDescent="0.35">
      <c r="B34" s="6">
        <v>2011</v>
      </c>
      <c r="C34" s="2">
        <v>-211445.99465046299</v>
      </c>
      <c r="D34" s="2">
        <v>11735.885071398299</v>
      </c>
      <c r="E34" s="2">
        <v>-72869.044808501902</v>
      </c>
      <c r="F34" s="2">
        <v>806.40854589606704</v>
      </c>
      <c r="G34" s="2">
        <v>849.79310364483297</v>
      </c>
      <c r="H34">
        <v>33.355784105698397</v>
      </c>
      <c r="I34" s="4">
        <v>-24.8855277543589</v>
      </c>
    </row>
    <row r="35" spans="2:9" ht="18.5" x14ac:dyDescent="0.35">
      <c r="B35" s="6">
        <v>2012</v>
      </c>
      <c r="C35" s="2">
        <v>-213048.68233708901</v>
      </c>
      <c r="D35" s="2">
        <v>10835.619483308899</v>
      </c>
      <c r="E35" s="2">
        <v>-75928.119362738595</v>
      </c>
      <c r="F35" s="2">
        <v>856.809180578633</v>
      </c>
      <c r="G35" s="2">
        <v>872.05704174251696</v>
      </c>
      <c r="H35">
        <v>39.047277276697201</v>
      </c>
      <c r="I35" s="4">
        <v>-28.768367875905799</v>
      </c>
    </row>
    <row r="36" spans="2:9" ht="18.5" x14ac:dyDescent="0.35">
      <c r="B36" s="6">
        <v>2013</v>
      </c>
      <c r="C36" s="2">
        <v>-214651.36993505</v>
      </c>
      <c r="D36" s="2">
        <v>9935.3542066086902</v>
      </c>
      <c r="E36" s="2">
        <v>-78987.193890822396</v>
      </c>
      <c r="F36" s="2">
        <v>907.20965603620004</v>
      </c>
      <c r="G36" s="2">
        <v>894.32104400686706</v>
      </c>
      <c r="H36">
        <v>32.476572817625801</v>
      </c>
      <c r="I36" s="4">
        <v>-36.026566871874799</v>
      </c>
    </row>
    <row r="37" spans="2:9" ht="18.5" x14ac:dyDescent="0.35">
      <c r="B37" s="6">
        <v>2014</v>
      </c>
      <c r="C37" s="2">
        <v>-216254.057381041</v>
      </c>
      <c r="D37" s="2">
        <v>9035.0886711530493</v>
      </c>
      <c r="E37" s="2">
        <v>-82046.268520134094</v>
      </c>
      <c r="F37" s="2">
        <v>957.61012058543304</v>
      </c>
      <c r="G37" s="2">
        <v>916.58498210455002</v>
      </c>
      <c r="H37">
        <v>29.472906886135601</v>
      </c>
      <c r="I37" s="4">
        <v>-32.980703398981902</v>
      </c>
    </row>
    <row r="38" spans="2:9" ht="18.5" x14ac:dyDescent="0.35">
      <c r="B38" s="6">
        <v>2015</v>
      </c>
      <c r="C38" s="2">
        <v>-217856.74487071799</v>
      </c>
      <c r="D38" s="2">
        <v>8134.8231595147899</v>
      </c>
      <c r="E38" s="2">
        <v>-85105.343048217997</v>
      </c>
      <c r="F38" s="2">
        <v>1008.010755268</v>
      </c>
      <c r="G38" s="2">
        <v>938.84881749770796</v>
      </c>
      <c r="H38">
        <v>34.837652459214603</v>
      </c>
      <c r="I38" s="4">
        <v>-52.998649588698797</v>
      </c>
    </row>
    <row r="39" spans="2:9" ht="18.5" x14ac:dyDescent="0.35">
      <c r="B39" s="6">
        <v>2016</v>
      </c>
      <c r="C39" s="2">
        <v>-219459.432787072</v>
      </c>
      <c r="D39" s="2">
        <v>7234.5753581674799</v>
      </c>
      <c r="E39" s="2">
        <v>-88164.417602454705</v>
      </c>
      <c r="F39" s="2">
        <v>1058.4112198172299</v>
      </c>
      <c r="G39" s="2">
        <v>718.423624387058</v>
      </c>
      <c r="H39">
        <v>36.685716053568399</v>
      </c>
      <c r="I39" s="4">
        <v>-49.703909057258002</v>
      </c>
    </row>
    <row r="40" spans="2:9" ht="18.5" x14ac:dyDescent="0.35">
      <c r="B40" s="6">
        <v>2017</v>
      </c>
      <c r="C40" s="2">
        <v>-221062.12008387601</v>
      </c>
      <c r="D40" s="2">
        <v>6334.31099983898</v>
      </c>
      <c r="E40" s="2">
        <v>-91223.4922067812</v>
      </c>
      <c r="F40" s="2">
        <v>1108.81176714147</v>
      </c>
      <c r="G40" s="2">
        <v>752.63429600140796</v>
      </c>
      <c r="H40">
        <v>2.6659847627702002</v>
      </c>
      <c r="I40" s="4">
        <v>-51.5078162061182</v>
      </c>
    </row>
    <row r="41" spans="2:9" ht="18.5" x14ac:dyDescent="0.35">
      <c r="B41" s="6">
        <v>2018</v>
      </c>
      <c r="C41" s="2">
        <v>-220321.325755506</v>
      </c>
      <c r="D41" s="2">
        <v>4310.0501635788696</v>
      </c>
      <c r="E41" s="2">
        <v>-94282.566836092999</v>
      </c>
      <c r="F41" s="2">
        <v>1159.2124018240299</v>
      </c>
      <c r="G41" s="2">
        <v>786.84504269075796</v>
      </c>
      <c r="H41">
        <v>27.138196440849402</v>
      </c>
      <c r="I41" s="4">
        <v>-58.449968663640902</v>
      </c>
    </row>
    <row r="42" spans="2:9" ht="18.5" x14ac:dyDescent="0.35">
      <c r="B42" s="6">
        <v>2019</v>
      </c>
      <c r="C42" s="2">
        <v>-224267.495401355</v>
      </c>
      <c r="D42" s="2">
        <v>4533.7815944022204</v>
      </c>
      <c r="E42" s="2">
        <v>-97341.641364176801</v>
      </c>
      <c r="F42" s="2">
        <v>1209.61286637327</v>
      </c>
      <c r="G42" s="2">
        <v>821.05554743391701</v>
      </c>
      <c r="H42">
        <v>26.630118254960401</v>
      </c>
      <c r="I42" s="4">
        <v>-76.492624701582798</v>
      </c>
    </row>
    <row r="43" spans="2:9" ht="18.5" x14ac:dyDescent="0.35">
      <c r="B43" s="6">
        <v>2020</v>
      </c>
      <c r="C43" s="2">
        <v>-225870.182975679</v>
      </c>
      <c r="D43" s="2">
        <v>3633.5172570115801</v>
      </c>
      <c r="E43" s="2">
        <v>-100400.715918414</v>
      </c>
      <c r="F43" s="2">
        <v>1260.01351196417</v>
      </c>
      <c r="G43" s="2">
        <v>855.26635828993301</v>
      </c>
      <c r="H43">
        <v>26.300864271314399</v>
      </c>
      <c r="I43" s="4">
        <v>-99.894938055545893</v>
      </c>
    </row>
    <row r="44" spans="2:9" ht="18.5" x14ac:dyDescent="0.35">
      <c r="B44" s="6">
        <v>2021</v>
      </c>
      <c r="C44" s="2">
        <v>-225394.504603985</v>
      </c>
      <c r="D44" s="2">
        <v>2733.2524927842701</v>
      </c>
      <c r="E44" s="2">
        <v>-103459.79044649701</v>
      </c>
      <c r="F44" s="2">
        <v>1310.4139765134</v>
      </c>
      <c r="G44" s="2">
        <v>889.47690157094996</v>
      </c>
      <c r="H44">
        <v>25.631195152034401</v>
      </c>
      <c r="I44" s="4">
        <v>-161.27911361477501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J5" sqref="J5"/>
    </sheetView>
  </sheetViews>
  <sheetFormatPr defaultRowHeight="14.5" x14ac:dyDescent="0.35"/>
  <cols>
    <col min="2" max="2" width="14.453125" customWidth="1"/>
    <col min="3" max="3" width="22.6328125" customWidth="1"/>
    <col min="4" max="4" width="19.54296875" customWidth="1"/>
    <col min="5" max="6" width="15.1796875" customWidth="1"/>
  </cols>
  <sheetData>
    <row r="2" spans="1:6" x14ac:dyDescent="0.35">
      <c r="A2" s="5" t="s">
        <v>36</v>
      </c>
      <c r="B2" s="3" t="s">
        <v>18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ht="18.5" x14ac:dyDescent="0.35">
      <c r="A3" s="6">
        <v>1990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 ht="18.5" x14ac:dyDescent="0.35">
      <c r="A4" s="6">
        <v>1991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 ht="18.5" x14ac:dyDescent="0.35">
      <c r="A5" s="6">
        <v>1992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 ht="18.5" x14ac:dyDescent="0.35">
      <c r="A6" s="6">
        <v>1993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 ht="18.5" x14ac:dyDescent="0.35">
      <c r="A7" s="6">
        <v>1994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 ht="18.5" x14ac:dyDescent="0.35">
      <c r="A8" s="6">
        <v>1995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ht="18.5" x14ac:dyDescent="0.35">
      <c r="A9" s="6">
        <v>1996</v>
      </c>
      <c r="B9" s="4">
        <v>-23577.302570342399</v>
      </c>
      <c r="C9" s="4">
        <v>-1529.8845714753299</v>
      </c>
      <c r="D9" s="4">
        <v>-1835.8724349143699</v>
      </c>
      <c r="E9" s="4">
        <v>-5.9304851826</v>
      </c>
      <c r="F9" s="4">
        <v>-31.706199524999999</v>
      </c>
    </row>
    <row r="10" spans="1:6" ht="18.5" x14ac:dyDescent="0.35">
      <c r="A10" s="6">
        <v>1997</v>
      </c>
      <c r="B10" s="4">
        <v>-23230.753443532802</v>
      </c>
      <c r="C10" s="4">
        <v>-3064.2291717707999</v>
      </c>
      <c r="D10" s="4">
        <v>-3675.76761463615</v>
      </c>
      <c r="E10" s="4">
        <v>-11.861020979133301</v>
      </c>
      <c r="F10" s="4">
        <v>-63.412323975</v>
      </c>
    </row>
    <row r="11" spans="1:6" ht="18.5" x14ac:dyDescent="0.35">
      <c r="A11" s="6">
        <v>1998</v>
      </c>
      <c r="B11" s="4">
        <v>-22884.2043167232</v>
      </c>
      <c r="C11" s="4">
        <v>-4596.3438082701296</v>
      </c>
      <c r="D11" s="4">
        <v>-5507.6172541291899</v>
      </c>
      <c r="E11" s="4">
        <v>-17.791506161733299</v>
      </c>
      <c r="F11" s="4">
        <v>-95.118523499999995</v>
      </c>
    </row>
    <row r="12" spans="1:6" ht="18.5" x14ac:dyDescent="0.35">
      <c r="A12" s="6">
        <v>1999</v>
      </c>
      <c r="B12" s="4">
        <v>-22537.655189913599</v>
      </c>
      <c r="C12" s="4">
        <v>-6128.4583435415998</v>
      </c>
      <c r="D12" s="4">
        <v>-7343.4896890435602</v>
      </c>
      <c r="E12" s="4">
        <v>-23.721991344333301</v>
      </c>
      <c r="F12" s="4">
        <v>-126.824723025</v>
      </c>
    </row>
    <row r="13" spans="1:6" ht="18.5" x14ac:dyDescent="0.35">
      <c r="A13" s="6">
        <v>2000</v>
      </c>
      <c r="B13" s="4">
        <v>-22191.106063104002</v>
      </c>
      <c r="C13" s="4">
        <v>-7660.5729800409299</v>
      </c>
      <c r="D13" s="4">
        <v>-9179.3621495867501</v>
      </c>
      <c r="E13" s="4">
        <v>-29.652527140866699</v>
      </c>
      <c r="F13" s="4">
        <v>-158.53092255000001</v>
      </c>
    </row>
    <row r="14" spans="1:6" ht="18.5" x14ac:dyDescent="0.35">
      <c r="A14" s="6">
        <v>2001</v>
      </c>
      <c r="B14" s="4">
        <v>-21844.556936294401</v>
      </c>
      <c r="C14" s="4">
        <v>-9192.6875153124001</v>
      </c>
      <c r="D14" s="4">
        <v>-11015.2345845011</v>
      </c>
      <c r="E14" s="4">
        <v>-35.583012323466697</v>
      </c>
      <c r="F14" s="4">
        <v>-190.23704699999999</v>
      </c>
    </row>
    <row r="15" spans="1:6" ht="18.5" x14ac:dyDescent="0.35">
      <c r="A15" s="6">
        <v>2002</v>
      </c>
      <c r="B15" s="4">
        <v>-21498.0078094848</v>
      </c>
      <c r="C15" s="4">
        <v>-10724.8021518117</v>
      </c>
      <c r="D15" s="4">
        <v>-12851.1070194155</v>
      </c>
      <c r="E15" s="4">
        <v>-41.513497506066699</v>
      </c>
      <c r="F15" s="4">
        <v>-221.94324652500001</v>
      </c>
    </row>
    <row r="16" spans="1:6" ht="18.5" x14ac:dyDescent="0.35">
      <c r="A16" s="6">
        <v>2003</v>
      </c>
      <c r="B16" s="4">
        <v>-21151.458682675198</v>
      </c>
      <c r="C16" s="4">
        <v>-12256.9166870832</v>
      </c>
      <c r="D16" s="4">
        <v>-14686.979403715901</v>
      </c>
      <c r="E16" s="4">
        <v>-47.444033302599998</v>
      </c>
      <c r="F16" s="4">
        <v>-253.64944604999999</v>
      </c>
    </row>
    <row r="17" spans="1:6" ht="18.5" x14ac:dyDescent="0.35">
      <c r="A17" s="7">
        <v>2004</v>
      </c>
      <c r="B17" s="4">
        <v>-20804.909555865601</v>
      </c>
      <c r="C17" s="4">
        <v>-13789.0313235825</v>
      </c>
      <c r="D17" s="4">
        <v>-16522.8518386303</v>
      </c>
      <c r="E17" s="4">
        <v>-53.374518485199999</v>
      </c>
      <c r="F17" s="4">
        <v>-285.35564557499998</v>
      </c>
    </row>
    <row r="18" spans="1:6" ht="18.5" x14ac:dyDescent="0.35">
      <c r="A18" s="6">
        <v>2005</v>
      </c>
      <c r="B18" s="4">
        <v>-20458.360429056</v>
      </c>
      <c r="C18" s="4">
        <v>-15321.145858854001</v>
      </c>
      <c r="D18" s="4">
        <v>-18358.7242735447</v>
      </c>
      <c r="E18" s="4">
        <v>-59.305003667800001</v>
      </c>
      <c r="F18" s="4">
        <v>-317.06177002499999</v>
      </c>
    </row>
    <row r="19" spans="1:6" ht="18.5" x14ac:dyDescent="0.35">
      <c r="A19" s="6">
        <v>2006</v>
      </c>
      <c r="B19" s="4">
        <v>-20111.811302246399</v>
      </c>
      <c r="C19" s="4">
        <v>-16853.260495353301</v>
      </c>
      <c r="D19" s="4">
        <v>-20194.596657845101</v>
      </c>
      <c r="E19" s="4">
        <v>-65.2355394643333</v>
      </c>
      <c r="F19" s="4">
        <v>-348.76796954999998</v>
      </c>
    </row>
    <row r="20" spans="1:6" ht="18.5" x14ac:dyDescent="0.35">
      <c r="A20" s="6">
        <v>2007</v>
      </c>
      <c r="B20" s="4">
        <v>-19765.262175436801</v>
      </c>
      <c r="C20" s="4">
        <v>-18385.3750306248</v>
      </c>
      <c r="D20" s="4">
        <v>-22030.4690927595</v>
      </c>
      <c r="E20" s="4">
        <v>-71.166024646933295</v>
      </c>
      <c r="F20" s="4">
        <v>-380.47416907500002</v>
      </c>
    </row>
    <row r="21" spans="1:6" ht="18.5" x14ac:dyDescent="0.35">
      <c r="A21" s="6">
        <v>2008</v>
      </c>
      <c r="B21" s="4">
        <v>-19418.7130486272</v>
      </c>
      <c r="C21" s="4">
        <v>-19917.4896671241</v>
      </c>
      <c r="D21" s="4">
        <v>-23866.3415533027</v>
      </c>
      <c r="E21" s="4">
        <v>-77.0965604434667</v>
      </c>
      <c r="F21" s="4">
        <v>-412.18029352500002</v>
      </c>
    </row>
    <row r="22" spans="1:6" ht="18.5" x14ac:dyDescent="0.35">
      <c r="A22" s="6">
        <v>2009</v>
      </c>
      <c r="B22" s="4">
        <v>-19072.163921817599</v>
      </c>
      <c r="C22" s="4">
        <v>-21449.6042023956</v>
      </c>
      <c r="D22" s="4">
        <v>-25702.2139882171</v>
      </c>
      <c r="E22" s="4">
        <v>-83.027045626066695</v>
      </c>
      <c r="F22" s="4">
        <v>-443.88649305000001</v>
      </c>
    </row>
    <row r="23" spans="1:6" ht="18.5" x14ac:dyDescent="0.35">
      <c r="A23" s="6">
        <v>2010</v>
      </c>
      <c r="B23" s="4">
        <v>-18725.614795008001</v>
      </c>
      <c r="C23" s="4">
        <v>-22981.7188388949</v>
      </c>
      <c r="D23" s="4">
        <v>-27538.086423131401</v>
      </c>
      <c r="E23" s="4">
        <v>-88.957530808666704</v>
      </c>
      <c r="F23" s="4">
        <v>-475.592692575</v>
      </c>
    </row>
    <row r="24" spans="1:6" ht="18.5" x14ac:dyDescent="0.35">
      <c r="A24" s="6">
        <v>2011</v>
      </c>
      <c r="B24" s="4">
        <v>-18379.0656681984</v>
      </c>
      <c r="C24" s="4">
        <v>-24513.833374166399</v>
      </c>
      <c r="D24" s="4">
        <v>-29373.9588074319</v>
      </c>
      <c r="E24" s="4">
        <v>-94.888066605199995</v>
      </c>
      <c r="F24" s="4">
        <v>-507.29889209999999</v>
      </c>
    </row>
    <row r="25" spans="1:6" ht="18.5" x14ac:dyDescent="0.35">
      <c r="A25" s="6">
        <v>2012</v>
      </c>
      <c r="B25" s="4">
        <v>-18032.516541388799</v>
      </c>
      <c r="C25" s="4">
        <v>-26045.948010665699</v>
      </c>
      <c r="D25" s="4">
        <v>-31209.831242346201</v>
      </c>
      <c r="E25" s="4">
        <v>-100.8185517878</v>
      </c>
      <c r="F25" s="4">
        <v>-539.00501655000005</v>
      </c>
    </row>
    <row r="26" spans="1:6" ht="18.5" x14ac:dyDescent="0.35">
      <c r="A26" s="6">
        <v>2013</v>
      </c>
      <c r="B26" s="4">
        <v>-17685.967414579201</v>
      </c>
      <c r="C26" s="4">
        <v>-27578.062545937199</v>
      </c>
      <c r="D26" s="4">
        <v>-33045.703677260601</v>
      </c>
      <c r="E26" s="4">
        <v>-106.7490369704</v>
      </c>
      <c r="F26" s="4">
        <v>-570.71121607500004</v>
      </c>
    </row>
    <row r="27" spans="1:6" ht="18.5" x14ac:dyDescent="0.35">
      <c r="A27" s="6">
        <v>2014</v>
      </c>
      <c r="B27" s="4">
        <v>-17339.4182877696</v>
      </c>
      <c r="C27" s="4">
        <v>-29110.177182436499</v>
      </c>
      <c r="D27" s="4">
        <v>-34881.5760615611</v>
      </c>
      <c r="E27" s="4">
        <v>-112.67957276693301</v>
      </c>
      <c r="F27" s="4">
        <v>-602.41741560000003</v>
      </c>
    </row>
    <row r="28" spans="1:6" ht="18.5" x14ac:dyDescent="0.35">
      <c r="A28" s="6">
        <v>2015</v>
      </c>
      <c r="B28" s="4">
        <v>-16992.869160959999</v>
      </c>
      <c r="C28" s="4">
        <v>-30642.291717708002</v>
      </c>
      <c r="D28" s="4">
        <v>-36717.448496475503</v>
      </c>
      <c r="E28" s="4">
        <v>-118.610057949533</v>
      </c>
      <c r="F28" s="4">
        <v>-634.12361512500001</v>
      </c>
    </row>
    <row r="29" spans="1:6" ht="18.5" x14ac:dyDescent="0.35">
      <c r="A29" s="6">
        <v>2016</v>
      </c>
      <c r="B29" s="4">
        <v>-16646.320034150402</v>
      </c>
      <c r="C29" s="4">
        <v>-32174.406354207302</v>
      </c>
      <c r="D29" s="4">
        <v>-38553.320931389797</v>
      </c>
      <c r="E29" s="4">
        <v>-124.540543132133</v>
      </c>
      <c r="F29" s="4">
        <v>-665.82973957499996</v>
      </c>
    </row>
    <row r="30" spans="1:6" ht="18.5" x14ac:dyDescent="0.35">
      <c r="A30" s="6">
        <v>2017</v>
      </c>
      <c r="B30" s="4">
        <v>-16299.7709073408</v>
      </c>
      <c r="C30" s="4">
        <v>-33706.520889478801</v>
      </c>
      <c r="D30" s="4">
        <v>-40389.193391932997</v>
      </c>
      <c r="E30" s="4">
        <v>-130.471078928667</v>
      </c>
      <c r="F30" s="4">
        <v>-697.53593909999995</v>
      </c>
    </row>
    <row r="31" spans="1:6" ht="18.5" x14ac:dyDescent="0.35">
      <c r="A31" s="6">
        <v>2018</v>
      </c>
      <c r="B31" s="4">
        <v>-15953.221780531199</v>
      </c>
      <c r="C31" s="4">
        <v>-35238.635525978098</v>
      </c>
      <c r="D31" s="4">
        <v>-42225.0658268474</v>
      </c>
      <c r="E31" s="4">
        <v>-136.40156411126699</v>
      </c>
      <c r="F31" s="4">
        <v>-729.24213862500005</v>
      </c>
    </row>
    <row r="32" spans="1:6" ht="18.5" x14ac:dyDescent="0.35">
      <c r="A32" s="6">
        <v>2019</v>
      </c>
      <c r="B32" s="4">
        <v>-15606.6726537216</v>
      </c>
      <c r="C32" s="4">
        <v>-36770.750061249601</v>
      </c>
      <c r="D32" s="4">
        <v>-44060.938261761803</v>
      </c>
      <c r="E32" s="4">
        <v>-142.33204929386699</v>
      </c>
      <c r="F32" s="4">
        <v>-760.94833815000004</v>
      </c>
    </row>
    <row r="33" spans="1:6" ht="18.5" x14ac:dyDescent="0.35">
      <c r="A33" s="6">
        <v>2020</v>
      </c>
      <c r="B33" s="4">
        <v>-15260.123526912001</v>
      </c>
      <c r="C33" s="4">
        <v>-38302.864697748897</v>
      </c>
      <c r="D33" s="4">
        <v>-45896.8106460622</v>
      </c>
      <c r="E33" s="4">
        <v>-148.26258509039999</v>
      </c>
      <c r="F33" s="4">
        <v>-792.65446259999999</v>
      </c>
    </row>
    <row r="34" spans="1:6" ht="18.5" x14ac:dyDescent="0.35">
      <c r="A34" s="6">
        <v>2021</v>
      </c>
      <c r="B34" s="4">
        <v>-14913.5744001024</v>
      </c>
      <c r="C34" s="4">
        <v>-39834.9792330204</v>
      </c>
      <c r="D34" s="4">
        <v>-47732.683080976603</v>
      </c>
      <c r="E34" s="4">
        <v>-154.19307027299999</v>
      </c>
      <c r="F34" s="4">
        <v>-824.36066212499998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5"/>
  <sheetViews>
    <sheetView workbookViewId="0">
      <selection activeCell="H4" sqref="H4"/>
    </sheetView>
  </sheetViews>
  <sheetFormatPr defaultRowHeight="14.5" x14ac:dyDescent="0.35"/>
  <cols>
    <col min="2" max="2" width="21.08984375" customWidth="1"/>
    <col min="3" max="3" width="21.26953125" customWidth="1"/>
    <col min="4" max="4" width="16.81640625" customWidth="1"/>
    <col min="5" max="5" width="16" customWidth="1"/>
    <col min="6" max="6" width="18.7265625" customWidth="1"/>
  </cols>
  <sheetData>
    <row r="3" spans="1:6" x14ac:dyDescent="0.35">
      <c r="A3" s="5" t="s">
        <v>36</v>
      </c>
      <c r="B3" s="3" t="s">
        <v>11</v>
      </c>
      <c r="C3" s="3" t="s">
        <v>13</v>
      </c>
      <c r="D3" s="3" t="s">
        <v>14</v>
      </c>
      <c r="E3" s="3" t="s">
        <v>15</v>
      </c>
      <c r="F3" s="3" t="s">
        <v>16</v>
      </c>
    </row>
    <row r="4" spans="1:6" ht="18.5" x14ac:dyDescent="0.35">
      <c r="A4" s="6">
        <v>1990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 ht="18.5" x14ac:dyDescent="0.35">
      <c r="A5" s="6">
        <v>1991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6" ht="18.5" x14ac:dyDescent="0.35">
      <c r="A6" s="6">
        <v>1992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6" ht="18.5" x14ac:dyDescent="0.35">
      <c r="A7" s="6">
        <v>1993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6" ht="18.5" x14ac:dyDescent="0.35">
      <c r="A8" s="6">
        <v>1994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6" ht="18.5" x14ac:dyDescent="0.35">
      <c r="A9" s="6">
        <v>1995</v>
      </c>
      <c r="B9" s="4">
        <v>0</v>
      </c>
      <c r="C9" s="4">
        <v>0</v>
      </c>
      <c r="D9" s="4">
        <v>0</v>
      </c>
      <c r="E9" s="4">
        <v>0</v>
      </c>
      <c r="F9" s="4">
        <v>0</v>
      </c>
    </row>
    <row r="10" spans="1:6" ht="18.5" x14ac:dyDescent="0.35">
      <c r="A10" s="6">
        <v>1996</v>
      </c>
      <c r="B10" s="4">
        <v>24975.4733486849</v>
      </c>
      <c r="C10" s="4">
        <v>230.42443822924201</v>
      </c>
      <c r="D10" s="4">
        <v>9.0070634204833198</v>
      </c>
      <c r="E10" s="4">
        <v>2.670342426675</v>
      </c>
      <c r="F10" s="4">
        <v>-8.7277941186333301</v>
      </c>
    </row>
    <row r="11" spans="1:6" ht="18.5" x14ac:dyDescent="0.35">
      <c r="A11" s="6">
        <v>1997</v>
      </c>
      <c r="B11" s="4">
        <v>23810.534388918601</v>
      </c>
      <c r="C11" s="4">
        <v>459.50758749848302</v>
      </c>
      <c r="D11" s="4">
        <v>81.796346295491603</v>
      </c>
      <c r="E11" s="4">
        <v>5.2614682421583296</v>
      </c>
      <c r="F11" s="4">
        <v>-17.455485532741701</v>
      </c>
    </row>
    <row r="12" spans="1:6" ht="18.5" x14ac:dyDescent="0.35">
      <c r="A12" s="6">
        <v>1998</v>
      </c>
      <c r="B12" s="4">
        <v>22645.735404483599</v>
      </c>
      <c r="C12" s="4">
        <v>689.26133900772504</v>
      </c>
      <c r="D12" s="4">
        <v>122.69450092597501</v>
      </c>
      <c r="E12" s="4">
        <v>7.89218954883333</v>
      </c>
      <c r="F12" s="4">
        <v>-26.247315491375002</v>
      </c>
    </row>
    <row r="13" spans="1:6" ht="18.5" x14ac:dyDescent="0.35">
      <c r="A13" s="6">
        <v>1999</v>
      </c>
      <c r="B13" s="4">
        <v>21480.936335568502</v>
      </c>
      <c r="C13" s="4">
        <v>919.01509051696701</v>
      </c>
      <c r="D13" s="4">
        <v>163.592655556458</v>
      </c>
      <c r="E13" s="4">
        <v>10.5229108555083</v>
      </c>
      <c r="F13" s="4">
        <v>-34.996444512149999</v>
      </c>
    </row>
    <row r="14" spans="1:6" ht="18.5" x14ac:dyDescent="0.35">
      <c r="A14" s="6">
        <v>2000</v>
      </c>
      <c r="B14" s="4">
        <v>20310.681806659701</v>
      </c>
      <c r="C14" s="4">
        <v>1148.7689265062099</v>
      </c>
      <c r="D14" s="4">
        <v>204.58237037480001</v>
      </c>
      <c r="E14" s="4">
        <v>13.1536577909917</v>
      </c>
      <c r="F14" s="4">
        <v>-43.7454634241167</v>
      </c>
    </row>
    <row r="15" spans="1:6" ht="18.5" x14ac:dyDescent="0.35">
      <c r="A15" s="6">
        <v>2001</v>
      </c>
      <c r="B15" s="4">
        <v>19151.3382902472</v>
      </c>
      <c r="C15" s="4">
        <v>1378.5226780154501</v>
      </c>
      <c r="D15" s="4">
        <v>245.38900185195001</v>
      </c>
      <c r="E15" s="4">
        <v>15.784379097666701</v>
      </c>
      <c r="F15" s="4">
        <v>-52.494630982750003</v>
      </c>
    </row>
    <row r="16" spans="1:6" ht="18.5" x14ac:dyDescent="0.35">
      <c r="A16" s="6">
        <v>2002</v>
      </c>
      <c r="B16" s="4">
        <v>17986.5392801833</v>
      </c>
      <c r="C16" s="4">
        <v>1608.27642952469</v>
      </c>
      <c r="D16" s="4">
        <v>286.28715648243298</v>
      </c>
      <c r="E16" s="4">
        <v>18.4151004043417</v>
      </c>
      <c r="F16" s="4">
        <v>-61.243760003524997</v>
      </c>
    </row>
    <row r="17" spans="1:6" ht="18.5" x14ac:dyDescent="0.35">
      <c r="A17" s="6">
        <v>2003</v>
      </c>
      <c r="B17" s="4">
        <v>16821.740211268199</v>
      </c>
      <c r="C17" s="4">
        <v>1838.0302655139301</v>
      </c>
      <c r="D17" s="4">
        <v>327.185274575775</v>
      </c>
      <c r="E17" s="4">
        <v>21.045847339824999</v>
      </c>
      <c r="F17" s="4">
        <v>-69.9929275621584</v>
      </c>
    </row>
    <row r="18" spans="1:6" ht="18.5" x14ac:dyDescent="0.35">
      <c r="A18" s="7">
        <v>2004</v>
      </c>
      <c r="B18" s="4">
        <v>15656.9412524619</v>
      </c>
      <c r="C18" s="4">
        <v>2067.7840170231698</v>
      </c>
      <c r="D18" s="4">
        <v>368.08350277792499</v>
      </c>
      <c r="E18" s="4">
        <v>23.676568646500002</v>
      </c>
      <c r="F18" s="4">
        <v>-78.741946474125001</v>
      </c>
    </row>
    <row r="19" spans="1:6" ht="18.5" x14ac:dyDescent="0.35">
      <c r="A19" s="6">
        <v>2005</v>
      </c>
      <c r="B19" s="4">
        <v>14492.1421659469</v>
      </c>
      <c r="C19" s="4">
        <v>2297.5377685324202</v>
      </c>
      <c r="D19" s="4">
        <v>408.98165740840801</v>
      </c>
      <c r="E19" s="4">
        <v>26.307289953175001</v>
      </c>
      <c r="F19" s="4">
        <v>-87.491075494900002</v>
      </c>
    </row>
    <row r="20" spans="1:6" ht="18.5" x14ac:dyDescent="0.35">
      <c r="A20" s="6">
        <v>2006</v>
      </c>
      <c r="B20" s="4">
        <v>13327.3431815118</v>
      </c>
      <c r="C20" s="4">
        <v>2527.2916045216598</v>
      </c>
      <c r="D20" s="4">
        <v>449.87977550174998</v>
      </c>
      <c r="E20" s="4">
        <v>28.938036888658299</v>
      </c>
      <c r="F20" s="4">
        <v>-96.240243053533305</v>
      </c>
    </row>
    <row r="21" spans="1:6" ht="18.5" x14ac:dyDescent="0.35">
      <c r="A21" s="6">
        <v>2007</v>
      </c>
      <c r="B21" s="4">
        <v>12162.544222705499</v>
      </c>
      <c r="C21" s="4">
        <v>2757.0453560309002</v>
      </c>
      <c r="D21" s="4">
        <v>490.77800370390003</v>
      </c>
      <c r="E21" s="4">
        <v>31.568758195333299</v>
      </c>
      <c r="F21" s="4">
        <v>-104.989223427642</v>
      </c>
    </row>
    <row r="22" spans="1:6" ht="18.5" x14ac:dyDescent="0.35">
      <c r="A22" s="6">
        <v>2008</v>
      </c>
      <c r="B22" s="4">
        <v>10995.744244990399</v>
      </c>
      <c r="C22" s="4">
        <v>2986.7990230601399</v>
      </c>
      <c r="D22" s="4">
        <v>531.67612179724097</v>
      </c>
      <c r="E22" s="4">
        <v>34.199505130816597</v>
      </c>
      <c r="F22" s="4">
        <v>-113.73839098627499</v>
      </c>
    </row>
    <row r="23" spans="1:6" ht="18.5" x14ac:dyDescent="0.35">
      <c r="A23" s="6">
        <v>2009</v>
      </c>
      <c r="B23" s="4">
        <v>9830.9451584753606</v>
      </c>
      <c r="C23" s="4">
        <v>3216.5528334205701</v>
      </c>
      <c r="D23" s="4">
        <v>572.57427642772495</v>
      </c>
      <c r="E23" s="4">
        <v>36.830141957491698</v>
      </c>
      <c r="F23" s="4">
        <v>-122.487558544908</v>
      </c>
    </row>
    <row r="24" spans="1:6" ht="18.5" x14ac:dyDescent="0.35">
      <c r="A24" s="6">
        <v>2010</v>
      </c>
      <c r="B24" s="4">
        <v>8668.1471084691002</v>
      </c>
      <c r="C24" s="4">
        <v>3446.30658492982</v>
      </c>
      <c r="D24" s="4">
        <v>613.47250462987495</v>
      </c>
      <c r="E24" s="4">
        <v>39.460863264166697</v>
      </c>
      <c r="F24" s="4">
        <v>-122.52501750490801</v>
      </c>
    </row>
    <row r="25" spans="1:6" ht="18.5" x14ac:dyDescent="0.35">
      <c r="A25" s="6">
        <v>2011</v>
      </c>
      <c r="B25" s="4">
        <v>7503.3481240340298</v>
      </c>
      <c r="C25" s="4">
        <v>3676.0604209190601</v>
      </c>
      <c r="D25" s="4">
        <v>654.370622723216</v>
      </c>
      <c r="E25" s="4">
        <v>42.091610199649999</v>
      </c>
      <c r="F25" s="4">
        <v>-139.98570647765001</v>
      </c>
    </row>
    <row r="26" spans="1:6" ht="18.5" x14ac:dyDescent="0.35">
      <c r="A26" s="6">
        <v>2012</v>
      </c>
      <c r="B26" s="4">
        <v>6338.5490375189502</v>
      </c>
      <c r="C26" s="4">
        <v>3905.8141724283</v>
      </c>
      <c r="D26" s="4">
        <v>695.26877735369999</v>
      </c>
      <c r="E26" s="4">
        <v>44.722331506324998</v>
      </c>
      <c r="F26" s="4">
        <v>-148.73483549842501</v>
      </c>
    </row>
    <row r="27" spans="1:6" ht="18.5" x14ac:dyDescent="0.35">
      <c r="A27" s="6">
        <v>2013</v>
      </c>
      <c r="B27" s="4">
        <v>5173.7500787126901</v>
      </c>
      <c r="C27" s="4">
        <v>4135.5679239375404</v>
      </c>
      <c r="D27" s="4">
        <v>736.16700555584998</v>
      </c>
      <c r="E27" s="4">
        <v>47.353052812999998</v>
      </c>
      <c r="F27" s="4">
        <v>-157.48385441039201</v>
      </c>
    </row>
    <row r="28" spans="1:6" ht="18.5" x14ac:dyDescent="0.35">
      <c r="A28" s="6">
        <v>2014</v>
      </c>
      <c r="B28" s="4">
        <v>4008.9510097976099</v>
      </c>
      <c r="C28" s="4">
        <v>4365.32175992678</v>
      </c>
      <c r="D28" s="4">
        <v>777.06512364919104</v>
      </c>
      <c r="E28" s="4">
        <v>49.9837997484833</v>
      </c>
      <c r="F28" s="4">
        <v>-166.233021969025</v>
      </c>
    </row>
    <row r="29" spans="1:6" ht="18.5" x14ac:dyDescent="0.35">
      <c r="A29" s="6">
        <v>2015</v>
      </c>
      <c r="B29" s="4">
        <v>2844.15199973373</v>
      </c>
      <c r="C29" s="4">
        <v>4595.07551143602</v>
      </c>
      <c r="D29" s="4">
        <v>817.96327827967502</v>
      </c>
      <c r="E29" s="4">
        <v>52.614521055158299</v>
      </c>
      <c r="F29" s="4">
        <v>-174.9821509898</v>
      </c>
    </row>
    <row r="30" spans="1:6" ht="18.5" x14ac:dyDescent="0.35">
      <c r="A30" s="6">
        <v>2016</v>
      </c>
      <c r="B30" s="4">
        <v>1679.35291321866</v>
      </c>
      <c r="C30" s="4">
        <v>4824.8470882252705</v>
      </c>
      <c r="D30" s="4">
        <v>858.86143291015799</v>
      </c>
      <c r="E30" s="4">
        <v>55.245242361833299</v>
      </c>
      <c r="F30" s="4">
        <v>-183.73131854843299</v>
      </c>
    </row>
    <row r="31" spans="1:6" ht="18.5" x14ac:dyDescent="0.35">
      <c r="A31" s="6">
        <v>2017</v>
      </c>
      <c r="B31" s="4">
        <v>514.55395441238898</v>
      </c>
      <c r="C31" s="4">
        <v>5054.60176901451</v>
      </c>
      <c r="D31" s="4">
        <v>899.75962457516596</v>
      </c>
      <c r="E31" s="4">
        <v>57.8759892973167</v>
      </c>
      <c r="F31" s="4">
        <v>-192.48033746039999</v>
      </c>
    </row>
    <row r="32" spans="1:6" ht="18.5" x14ac:dyDescent="0.35">
      <c r="A32" s="6">
        <v>2018</v>
      </c>
      <c r="B32" s="4">
        <v>-1774.2412250733501</v>
      </c>
      <c r="C32" s="4">
        <v>5284.3563653237497</v>
      </c>
      <c r="D32" s="4">
        <v>940.65777920564994</v>
      </c>
      <c r="E32" s="4">
        <v>60.506710603991699</v>
      </c>
      <c r="F32" s="4">
        <v>-201.229466481175</v>
      </c>
    </row>
    <row r="33" spans="1:6" ht="18.5" x14ac:dyDescent="0.35">
      <c r="A33" s="6">
        <v>2019</v>
      </c>
      <c r="B33" s="4">
        <v>-1815.0440989377601</v>
      </c>
      <c r="C33" s="4">
        <v>5514.1109616329904</v>
      </c>
      <c r="D33" s="4">
        <v>981.55593383613302</v>
      </c>
      <c r="E33" s="4">
        <v>63.137431910666599</v>
      </c>
      <c r="F33" s="4">
        <v>-209.97863403980799</v>
      </c>
    </row>
    <row r="34" spans="1:6" ht="18.5" x14ac:dyDescent="0.35">
      <c r="A34" s="6">
        <v>2020</v>
      </c>
      <c r="B34" s="4">
        <v>-2979.8430753440298</v>
      </c>
      <c r="C34" s="4">
        <v>5743.8656424222299</v>
      </c>
      <c r="D34" s="4">
        <v>1022.45412550114</v>
      </c>
      <c r="E34" s="4">
        <v>65.768178846149993</v>
      </c>
      <c r="F34" s="4">
        <v>-218.727614413917</v>
      </c>
    </row>
    <row r="35" spans="1:6" ht="18.5" x14ac:dyDescent="0.35">
      <c r="A35" s="6">
        <v>2021</v>
      </c>
      <c r="B35" s="4">
        <v>-4144.6421442591</v>
      </c>
      <c r="C35" s="4">
        <v>5973.6202387314697</v>
      </c>
      <c r="D35" s="4">
        <v>1063.3522801316201</v>
      </c>
      <c r="E35" s="4">
        <v>68.398900152824993</v>
      </c>
      <c r="F35" s="4">
        <v>-227.47678197254999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0"/>
  <sheetViews>
    <sheetView topLeftCell="A13" workbookViewId="0">
      <selection activeCell="B38" sqref="B38"/>
    </sheetView>
  </sheetViews>
  <sheetFormatPr defaultRowHeight="14.5" x14ac:dyDescent="0.35"/>
  <sheetData>
    <row r="2" spans="1:5" x14ac:dyDescent="0.35">
      <c r="A2" s="5" t="s">
        <v>36</v>
      </c>
      <c r="B2" s="3" t="s">
        <v>26</v>
      </c>
      <c r="C2" s="3" t="s">
        <v>27</v>
      </c>
      <c r="D2" s="3" t="s">
        <v>28</v>
      </c>
      <c r="E2" s="3" t="s">
        <v>29</v>
      </c>
    </row>
    <row r="3" spans="1:5" ht="18.5" x14ac:dyDescent="0.35">
      <c r="A3" s="6">
        <v>1990</v>
      </c>
      <c r="B3" s="4">
        <v>0</v>
      </c>
      <c r="C3" s="4">
        <v>0</v>
      </c>
      <c r="D3" s="4">
        <v>0</v>
      </c>
      <c r="E3" s="4">
        <v>0</v>
      </c>
    </row>
    <row r="4" spans="1:5" ht="18.5" x14ac:dyDescent="0.35">
      <c r="A4" s="6">
        <v>1991</v>
      </c>
      <c r="B4" s="4">
        <v>0</v>
      </c>
      <c r="C4" s="4">
        <v>0</v>
      </c>
      <c r="D4" s="4">
        <v>0</v>
      </c>
      <c r="E4" s="4">
        <v>0</v>
      </c>
    </row>
    <row r="5" spans="1:5" ht="18.5" x14ac:dyDescent="0.35">
      <c r="A5" s="6">
        <v>1992</v>
      </c>
      <c r="B5" s="4">
        <v>0</v>
      </c>
      <c r="C5" s="4">
        <v>0</v>
      </c>
      <c r="D5" s="4">
        <v>0</v>
      </c>
      <c r="E5" s="4">
        <v>0</v>
      </c>
    </row>
    <row r="6" spans="1:5" ht="18.5" x14ac:dyDescent="0.35">
      <c r="A6" s="6">
        <v>1993</v>
      </c>
      <c r="B6" s="4">
        <v>0</v>
      </c>
      <c r="C6" s="4">
        <v>0</v>
      </c>
      <c r="D6" s="4">
        <v>0</v>
      </c>
      <c r="E6" s="4">
        <v>0</v>
      </c>
    </row>
    <row r="7" spans="1:5" ht="18.5" x14ac:dyDescent="0.35">
      <c r="A7" s="6">
        <v>1994</v>
      </c>
      <c r="B7" s="4">
        <v>0</v>
      </c>
      <c r="C7" s="4">
        <v>0</v>
      </c>
      <c r="D7" s="4">
        <v>0</v>
      </c>
      <c r="E7" s="4">
        <v>0</v>
      </c>
    </row>
    <row r="8" spans="1:5" ht="18.5" x14ac:dyDescent="0.35">
      <c r="A8" s="6">
        <v>1995</v>
      </c>
      <c r="B8" s="4">
        <v>0</v>
      </c>
      <c r="C8" s="4">
        <v>0</v>
      </c>
      <c r="D8" s="4">
        <v>0</v>
      </c>
      <c r="E8" s="4">
        <v>0</v>
      </c>
    </row>
    <row r="9" spans="1:5" ht="18.5" x14ac:dyDescent="0.35">
      <c r="A9" s="6">
        <v>1996</v>
      </c>
      <c r="B9" s="4">
        <v>4.8503673276666701</v>
      </c>
      <c r="C9" s="4">
        <v>35.9155571159</v>
      </c>
      <c r="D9" s="4">
        <v>0.188190566666667</v>
      </c>
      <c r="E9" s="4">
        <v>-0.69380646133333301</v>
      </c>
    </row>
    <row r="10" spans="1:5" ht="18.5" x14ac:dyDescent="0.35">
      <c r="A10" s="6">
        <v>1997</v>
      </c>
      <c r="B10" s="4">
        <v>29.922880533333299</v>
      </c>
      <c r="C10" s="4">
        <v>71.831114231800001</v>
      </c>
      <c r="D10" s="4">
        <v>0.37639204166666601</v>
      </c>
      <c r="E10" s="4">
        <v>-1.32927666666667</v>
      </c>
    </row>
    <row r="11" spans="1:5" ht="18.5" x14ac:dyDescent="0.35">
      <c r="A11" s="6">
        <v>1998</v>
      </c>
      <c r="B11" s="4">
        <v>44.884235733333298</v>
      </c>
      <c r="C11" s="4">
        <v>107.7466713477</v>
      </c>
      <c r="D11" s="4">
        <v>0.56458260833333296</v>
      </c>
      <c r="E11" s="4">
        <v>-1.9939150000000001</v>
      </c>
    </row>
    <row r="12" spans="1:5" ht="18.5" x14ac:dyDescent="0.35">
      <c r="A12" s="6">
        <v>1999</v>
      </c>
      <c r="B12" s="4">
        <v>59.845761066666697</v>
      </c>
      <c r="C12" s="4">
        <v>143.6622284636</v>
      </c>
      <c r="D12" s="4">
        <v>0.75277317499999896</v>
      </c>
      <c r="E12" s="4">
        <v>-2.6585533333333302</v>
      </c>
    </row>
    <row r="13" spans="1:5" ht="18.5" x14ac:dyDescent="0.35">
      <c r="A13" s="6">
        <v>2000</v>
      </c>
      <c r="B13" s="4">
        <v>74.807116266666696</v>
      </c>
      <c r="C13" s="4">
        <v>179.577857446167</v>
      </c>
      <c r="D13" s="4">
        <v>0.94097464999999902</v>
      </c>
      <c r="E13" s="4">
        <v>-3.3231916666666699</v>
      </c>
    </row>
    <row r="14" spans="1:5" ht="18.5" x14ac:dyDescent="0.35">
      <c r="A14" s="6">
        <v>2001</v>
      </c>
      <c r="B14" s="4">
        <v>89.768471466666696</v>
      </c>
      <c r="C14" s="4">
        <v>215.49341456206699</v>
      </c>
      <c r="D14" s="4">
        <v>1.1291652166666699</v>
      </c>
      <c r="E14" s="4">
        <v>-3.9878300000000002</v>
      </c>
    </row>
    <row r="15" spans="1:5" ht="18.5" x14ac:dyDescent="0.35">
      <c r="A15" s="6">
        <v>2002</v>
      </c>
      <c r="B15" s="4">
        <v>104.7299968</v>
      </c>
      <c r="C15" s="4">
        <v>251.408971677967</v>
      </c>
      <c r="D15" s="4">
        <v>1.31735578333333</v>
      </c>
      <c r="E15" s="4">
        <v>-4.6524683333333297</v>
      </c>
    </row>
    <row r="16" spans="1:5" ht="18.5" x14ac:dyDescent="0.35">
      <c r="A16" s="6">
        <v>2003</v>
      </c>
      <c r="B16" s="4">
        <v>119.69135199999999</v>
      </c>
      <c r="C16" s="4">
        <v>287.32452879386699</v>
      </c>
      <c r="D16" s="4">
        <v>1.5055463499999999</v>
      </c>
      <c r="E16" s="4">
        <v>-5.3171066666666702</v>
      </c>
    </row>
    <row r="17" spans="1:5" ht="18.5" x14ac:dyDescent="0.35">
      <c r="A17" s="7">
        <v>2004</v>
      </c>
      <c r="B17" s="4">
        <v>134.65270720000001</v>
      </c>
      <c r="C17" s="4">
        <v>323.240085909767</v>
      </c>
      <c r="D17" s="4">
        <v>1.693747825</v>
      </c>
      <c r="E17" s="4">
        <v>-5.9817450000000001</v>
      </c>
    </row>
    <row r="18" spans="1:5" ht="18.5" x14ac:dyDescent="0.35">
      <c r="A18" s="6">
        <v>2005</v>
      </c>
      <c r="B18" s="4">
        <v>149.61423253333299</v>
      </c>
      <c r="C18" s="4">
        <v>359.15564302566702</v>
      </c>
      <c r="D18" s="4">
        <v>1.8819383916666701</v>
      </c>
      <c r="E18" s="4">
        <v>-6.64638333333333</v>
      </c>
    </row>
    <row r="19" spans="1:5" ht="18.5" x14ac:dyDescent="0.35">
      <c r="A19" s="6">
        <v>2006</v>
      </c>
      <c r="B19" s="4">
        <v>164.57558773333301</v>
      </c>
      <c r="C19" s="4">
        <v>395.07120014156698</v>
      </c>
      <c r="D19" s="4">
        <v>2.07012895833333</v>
      </c>
      <c r="E19" s="4">
        <v>-7.3110216666666696</v>
      </c>
    </row>
    <row r="20" spans="1:5" ht="18.5" x14ac:dyDescent="0.35">
      <c r="A20" s="6">
        <v>2007</v>
      </c>
      <c r="B20" s="4">
        <v>179.53711306666699</v>
      </c>
      <c r="C20" s="4">
        <v>430.98675725746699</v>
      </c>
      <c r="D20" s="4">
        <v>2.2583304333333301</v>
      </c>
      <c r="E20" s="4">
        <v>-7.9756600000000004</v>
      </c>
    </row>
    <row r="21" spans="1:5" ht="18.5" x14ac:dyDescent="0.35">
      <c r="A21" s="6">
        <v>2008</v>
      </c>
      <c r="B21" s="4">
        <v>194.49829813333301</v>
      </c>
      <c r="C21" s="4">
        <v>466.90231437336701</v>
      </c>
      <c r="D21" s="4">
        <v>2.4465210000000002</v>
      </c>
      <c r="E21" s="4">
        <v>-8.6402341666666693</v>
      </c>
    </row>
    <row r="22" spans="1:5" ht="18.5" x14ac:dyDescent="0.35">
      <c r="A22" s="6">
        <v>2009</v>
      </c>
      <c r="B22" s="4">
        <v>209.45965333333299</v>
      </c>
      <c r="C22" s="4">
        <v>502.81794335593298</v>
      </c>
      <c r="D22" s="4">
        <v>2.6347115666666698</v>
      </c>
      <c r="E22" s="4">
        <v>-9.3048725000000001</v>
      </c>
    </row>
    <row r="23" spans="1:5" ht="18.5" x14ac:dyDescent="0.35">
      <c r="A23" s="6">
        <v>2010</v>
      </c>
      <c r="B23" s="4">
        <v>224.421178666667</v>
      </c>
      <c r="C23" s="4">
        <v>538.73350047183305</v>
      </c>
      <c r="D23" s="4">
        <v>2.8229130416666601</v>
      </c>
      <c r="E23" s="4">
        <v>-9.9695108333333309</v>
      </c>
    </row>
    <row r="24" spans="1:5" ht="18.5" x14ac:dyDescent="0.35">
      <c r="A24" s="6">
        <v>2011</v>
      </c>
      <c r="B24" s="4">
        <v>239.38253386666699</v>
      </c>
      <c r="C24" s="4">
        <v>574.64905758773295</v>
      </c>
      <c r="D24" s="4">
        <v>3.0111036083333298</v>
      </c>
      <c r="E24" s="4">
        <v>-10.634149166666701</v>
      </c>
    </row>
    <row r="25" spans="1:5" ht="18.5" x14ac:dyDescent="0.35">
      <c r="A25" s="6">
        <v>2012</v>
      </c>
      <c r="B25" s="4">
        <v>254.3440592</v>
      </c>
      <c r="C25" s="4">
        <v>610.56461470363297</v>
      </c>
      <c r="D25" s="4">
        <v>3.1992941749999999</v>
      </c>
      <c r="E25" s="4">
        <v>-11.2987875</v>
      </c>
    </row>
    <row r="26" spans="1:5" ht="18.5" x14ac:dyDescent="0.35">
      <c r="A26" s="6">
        <v>2013</v>
      </c>
      <c r="B26" s="4">
        <v>269.30541440000002</v>
      </c>
      <c r="C26" s="4">
        <v>646.48017181953401</v>
      </c>
      <c r="D26" s="4">
        <v>3.38749565</v>
      </c>
      <c r="E26" s="4">
        <v>-11.9634258333333</v>
      </c>
    </row>
    <row r="27" spans="1:5" ht="18.5" x14ac:dyDescent="0.35">
      <c r="A27" s="6">
        <v>2014</v>
      </c>
      <c r="B27" s="4">
        <v>284.26676959999998</v>
      </c>
      <c r="C27" s="4">
        <v>682.39572893543402</v>
      </c>
      <c r="D27" s="4">
        <v>3.5756862166666599</v>
      </c>
      <c r="E27" s="4">
        <v>-12.6280641666667</v>
      </c>
    </row>
    <row r="28" spans="1:5" ht="18.5" x14ac:dyDescent="0.35">
      <c r="A28" s="6">
        <v>2015</v>
      </c>
      <c r="B28" s="4">
        <v>299.22829493333302</v>
      </c>
      <c r="C28" s="4">
        <v>718.31128605133301</v>
      </c>
      <c r="D28" s="4">
        <v>3.76387678333333</v>
      </c>
      <c r="E28" s="4">
        <v>-13.292702500000001</v>
      </c>
    </row>
    <row r="29" spans="1:5" ht="18.5" x14ac:dyDescent="0.35">
      <c r="A29" s="6">
        <v>2016</v>
      </c>
      <c r="B29" s="4">
        <v>314.18965013333298</v>
      </c>
      <c r="C29" s="4">
        <v>754.22684316723405</v>
      </c>
      <c r="D29" s="4">
        <v>3.9520673500000001</v>
      </c>
      <c r="E29" s="4">
        <v>-13.9573408333333</v>
      </c>
    </row>
    <row r="30" spans="1:5" ht="18.5" x14ac:dyDescent="0.35">
      <c r="A30" s="6">
        <v>2017</v>
      </c>
      <c r="B30" s="4">
        <v>329.15100533333299</v>
      </c>
      <c r="C30" s="4">
        <v>790.14247214980003</v>
      </c>
      <c r="D30" s="4">
        <v>4.1402688249999997</v>
      </c>
      <c r="E30" s="4">
        <v>-14.6219791666667</v>
      </c>
    </row>
    <row r="31" spans="1:5" ht="18.5" x14ac:dyDescent="0.35">
      <c r="A31" s="6">
        <v>2018</v>
      </c>
      <c r="B31" s="4">
        <v>344.112530666667</v>
      </c>
      <c r="C31" s="4">
        <v>826.05802926570004</v>
      </c>
      <c r="D31" s="4">
        <v>4.3284593916666596</v>
      </c>
      <c r="E31" s="4">
        <v>-15.2866175</v>
      </c>
    </row>
    <row r="32" spans="1:5" ht="18.5" x14ac:dyDescent="0.35">
      <c r="A32" s="6">
        <v>2019</v>
      </c>
      <c r="B32" s="4">
        <v>359.07388586666701</v>
      </c>
      <c r="C32" s="4">
        <v>861.97358638159994</v>
      </c>
      <c r="D32" s="4">
        <v>4.5166499583333302</v>
      </c>
      <c r="E32" s="4">
        <v>-15.951255833333301</v>
      </c>
    </row>
    <row r="33" spans="1:5" ht="18.5" x14ac:dyDescent="0.35">
      <c r="A33" s="6">
        <v>2020</v>
      </c>
      <c r="B33" s="4">
        <v>374.0354112</v>
      </c>
      <c r="C33" s="4">
        <v>897.88914349749996</v>
      </c>
      <c r="D33" s="4">
        <v>4.7048514333333298</v>
      </c>
      <c r="E33" s="4">
        <v>-16.615894166666699</v>
      </c>
    </row>
    <row r="34" spans="1:5" ht="18.5" x14ac:dyDescent="0.35">
      <c r="A34" s="6">
        <v>2021</v>
      </c>
      <c r="B34" s="4">
        <v>388.99676640000001</v>
      </c>
      <c r="C34" s="4">
        <v>933.80470061339997</v>
      </c>
      <c r="D34" s="4">
        <v>4.8930420000000003</v>
      </c>
      <c r="E34" s="4">
        <v>-17.2805325</v>
      </c>
    </row>
    <row r="35" spans="1:5" x14ac:dyDescent="0.35">
      <c r="B35">
        <f>SUM(B9:B34)/25</f>
        <v>209.65381093843999</v>
      </c>
      <c r="C35">
        <f>SUM(C9:C34)/25</f>
        <v>504.25453689390287</v>
      </c>
      <c r="D35">
        <f t="shared" ref="D35:E35" si="0">SUM(D9:D34)/25</f>
        <v>2.642242679999999</v>
      </c>
      <c r="E35">
        <f t="shared" si="0"/>
        <v>-9.3326529917866683</v>
      </c>
    </row>
    <row r="38" spans="1:5" x14ac:dyDescent="0.35">
      <c r="A38" s="5" t="s">
        <v>36</v>
      </c>
      <c r="B38" s="3" t="s">
        <v>32</v>
      </c>
      <c r="C38" s="3" t="s">
        <v>33</v>
      </c>
      <c r="D38" s="3" t="s">
        <v>34</v>
      </c>
      <c r="E38" s="3" t="s">
        <v>35</v>
      </c>
    </row>
    <row r="39" spans="1:5" ht="18.5" x14ac:dyDescent="0.35">
      <c r="A39" s="6">
        <v>1990</v>
      </c>
      <c r="B39" s="4">
        <v>0</v>
      </c>
      <c r="C39" s="4">
        <v>0</v>
      </c>
      <c r="D39" s="4">
        <v>0</v>
      </c>
      <c r="E39" s="4">
        <v>0</v>
      </c>
    </row>
    <row r="40" spans="1:5" ht="18.5" x14ac:dyDescent="0.35">
      <c r="A40" s="6">
        <v>1991</v>
      </c>
      <c r="B40" s="4">
        <v>0</v>
      </c>
      <c r="C40" s="4">
        <v>0</v>
      </c>
      <c r="D40" s="4">
        <v>0</v>
      </c>
      <c r="E40" s="4">
        <v>0</v>
      </c>
    </row>
    <row r="41" spans="1:5" ht="18.5" x14ac:dyDescent="0.35">
      <c r="A41" s="6">
        <v>1992</v>
      </c>
      <c r="B41" s="4">
        <v>0</v>
      </c>
      <c r="C41" s="4">
        <v>0</v>
      </c>
      <c r="D41" s="4">
        <v>0</v>
      </c>
      <c r="E41" s="4">
        <v>0</v>
      </c>
    </row>
    <row r="42" spans="1:5" ht="18.5" x14ac:dyDescent="0.35">
      <c r="A42" s="6">
        <v>1993</v>
      </c>
      <c r="B42" s="4">
        <v>0</v>
      </c>
      <c r="C42" s="4">
        <v>0</v>
      </c>
      <c r="D42" s="4">
        <v>0</v>
      </c>
      <c r="E42" s="4">
        <v>0</v>
      </c>
    </row>
    <row r="43" spans="1:5" ht="18.5" x14ac:dyDescent="0.35">
      <c r="A43" s="6">
        <v>1994</v>
      </c>
      <c r="B43" s="4">
        <v>0</v>
      </c>
      <c r="C43" s="4">
        <v>0</v>
      </c>
      <c r="D43" s="4">
        <v>0</v>
      </c>
      <c r="E43" s="4">
        <v>0</v>
      </c>
    </row>
    <row r="44" spans="1:5" ht="18.5" x14ac:dyDescent="0.35">
      <c r="A44" s="6">
        <v>1995</v>
      </c>
      <c r="B44" s="4">
        <v>0</v>
      </c>
      <c r="C44" s="4">
        <v>0</v>
      </c>
      <c r="D44" s="4">
        <v>0</v>
      </c>
      <c r="E44" s="4">
        <v>0</v>
      </c>
    </row>
    <row r="45" spans="1:5" ht="18.5" x14ac:dyDescent="0.35">
      <c r="A45" s="6">
        <v>1996</v>
      </c>
      <c r="B45" s="4">
        <v>47.862168859999997</v>
      </c>
      <c r="C45" s="4">
        <v>50.587328431016701</v>
      </c>
      <c r="D45" s="4">
        <v>431.09920986953301</v>
      </c>
      <c r="E45" s="4">
        <v>3.78884</v>
      </c>
    </row>
    <row r="46" spans="1:5" ht="18.5" x14ac:dyDescent="0.35">
      <c r="A46" s="6">
        <v>1997</v>
      </c>
      <c r="B46" s="4">
        <v>30.27563</v>
      </c>
      <c r="C46" s="4">
        <v>14.252310362033301</v>
      </c>
      <c r="D46" s="4">
        <v>191.07799910833299</v>
      </c>
      <c r="E46" s="4">
        <v>3.1749520000000002</v>
      </c>
    </row>
    <row r="47" spans="1:5" ht="18.5" x14ac:dyDescent="0.35">
      <c r="A47" s="6">
        <v>1998</v>
      </c>
      <c r="B47" s="4">
        <v>45.413380833333299</v>
      </c>
      <c r="C47" s="4">
        <v>21.378394921858298</v>
      </c>
      <c r="D47" s="4">
        <v>286.616689791667</v>
      </c>
      <c r="E47" s="4">
        <v>3.1749520000000002</v>
      </c>
    </row>
    <row r="48" spans="1:5" ht="18.5" x14ac:dyDescent="0.35">
      <c r="A48" s="6">
        <v>1999</v>
      </c>
      <c r="B48" s="4">
        <v>60.551259999999999</v>
      </c>
      <c r="C48" s="4">
        <v>28.504518019541699</v>
      </c>
      <c r="D48" s="4">
        <v>382.155998216667</v>
      </c>
      <c r="E48" s="4">
        <v>3.1749520000000002</v>
      </c>
    </row>
    <row r="49" spans="1:5" ht="18.5" x14ac:dyDescent="0.35">
      <c r="A49" s="6">
        <v>2000</v>
      </c>
      <c r="B49" s="4">
        <v>75.689010833333299</v>
      </c>
      <c r="C49" s="4">
        <v>35.6307052838917</v>
      </c>
      <c r="D49" s="4">
        <v>477.69468890000002</v>
      </c>
      <c r="E49" s="4">
        <v>15.875366833333301</v>
      </c>
    </row>
    <row r="50" spans="1:5" ht="18.5" x14ac:dyDescent="0.35">
      <c r="A50" s="6">
        <v>2001</v>
      </c>
      <c r="B50" s="4">
        <v>90.826890000000006</v>
      </c>
      <c r="C50" s="4">
        <v>42.756828381574998</v>
      </c>
      <c r="D50" s="4">
        <v>477.69468890000002</v>
      </c>
      <c r="E50" s="4">
        <v>19.0503188333333</v>
      </c>
    </row>
    <row r="51" spans="1:5" ht="18.5" x14ac:dyDescent="0.35">
      <c r="A51" s="6">
        <v>2002</v>
      </c>
      <c r="B51" s="4">
        <v>105.96464083333299</v>
      </c>
      <c r="C51" s="4">
        <v>49.882912941400001</v>
      </c>
      <c r="D51" s="4">
        <v>477.69468890000002</v>
      </c>
      <c r="E51" s="4">
        <v>15.875366833333301</v>
      </c>
    </row>
    <row r="52" spans="1:5" ht="18.5" x14ac:dyDescent="0.35">
      <c r="A52" s="6">
        <v>2003</v>
      </c>
      <c r="B52" s="4">
        <v>121.102455833333</v>
      </c>
      <c r="C52" s="4">
        <v>57.009036039083298</v>
      </c>
      <c r="D52" s="4">
        <v>477.69468890000002</v>
      </c>
      <c r="E52" s="4">
        <v>15.875366833333301</v>
      </c>
    </row>
    <row r="53" spans="1:5" ht="18.5" x14ac:dyDescent="0.35">
      <c r="A53" s="7">
        <v>2004</v>
      </c>
      <c r="B53" s="4">
        <v>136.240270833333</v>
      </c>
      <c r="C53" s="4">
        <v>64.135223303433307</v>
      </c>
      <c r="D53" s="4">
        <v>477.69468890000002</v>
      </c>
      <c r="E53" s="4">
        <v>15.875366833333301</v>
      </c>
    </row>
    <row r="54" spans="1:5" ht="18.5" x14ac:dyDescent="0.35">
      <c r="A54" s="6">
        <v>2005</v>
      </c>
      <c r="B54" s="4">
        <v>151.37808583333299</v>
      </c>
      <c r="C54" s="4">
        <v>71.261346401116697</v>
      </c>
      <c r="D54" s="4">
        <v>477.69468890000002</v>
      </c>
      <c r="E54" s="4">
        <v>15.875366833333301</v>
      </c>
    </row>
    <row r="55" spans="1:5" ht="18.5" x14ac:dyDescent="0.35">
      <c r="A55" s="6">
        <v>2006</v>
      </c>
      <c r="B55" s="4">
        <v>166.51590083333301</v>
      </c>
      <c r="C55" s="4">
        <v>78.3874309609417</v>
      </c>
      <c r="D55" s="4">
        <v>477.69468890000002</v>
      </c>
      <c r="E55" s="4">
        <v>15.875366833333301</v>
      </c>
    </row>
    <row r="56" spans="1:5" ht="18.5" x14ac:dyDescent="0.35">
      <c r="A56" s="6">
        <v>2007</v>
      </c>
      <c r="B56" s="4">
        <v>181.653715833333</v>
      </c>
      <c r="C56" s="4">
        <v>85.513618225291694</v>
      </c>
      <c r="D56" s="4">
        <v>477.69468890000002</v>
      </c>
      <c r="E56" s="4">
        <v>15.875366833333301</v>
      </c>
    </row>
    <row r="57" spans="1:5" ht="18.5" x14ac:dyDescent="0.35">
      <c r="A57" s="6">
        <v>2008</v>
      </c>
      <c r="B57" s="4">
        <v>196.79146666666699</v>
      </c>
      <c r="C57" s="4">
        <v>92.639741322974999</v>
      </c>
      <c r="D57" s="4">
        <v>477.69468890000002</v>
      </c>
      <c r="E57" s="4">
        <v>15.875366833333301</v>
      </c>
    </row>
    <row r="58" spans="1:5" ht="18.5" x14ac:dyDescent="0.35">
      <c r="A58" s="6">
        <v>2009</v>
      </c>
      <c r="B58" s="4">
        <v>211.92928166666701</v>
      </c>
      <c r="C58" s="4">
        <v>99.765864420658303</v>
      </c>
      <c r="D58" s="4">
        <v>477.69468890000002</v>
      </c>
      <c r="E58" s="4">
        <v>15.875366833333301</v>
      </c>
    </row>
    <row r="59" spans="1:5" ht="18.5" x14ac:dyDescent="0.35">
      <c r="A59" s="6">
        <v>2010</v>
      </c>
      <c r="B59" s="4">
        <v>227.067096666667</v>
      </c>
      <c r="C59" s="4">
        <v>106.892051685008</v>
      </c>
      <c r="D59" s="4">
        <v>477.69468890000002</v>
      </c>
      <c r="E59" s="4">
        <v>15.875366833333301</v>
      </c>
    </row>
    <row r="60" spans="1:5" ht="18.5" x14ac:dyDescent="0.35">
      <c r="A60" s="6">
        <v>2011</v>
      </c>
      <c r="B60" s="4">
        <v>242.20491166666699</v>
      </c>
      <c r="C60" s="4">
        <v>114.018136244833</v>
      </c>
      <c r="D60" s="4">
        <v>477.69468890000002</v>
      </c>
      <c r="E60" s="4">
        <v>15.875366833333301</v>
      </c>
    </row>
    <row r="61" spans="1:5" ht="18.5" x14ac:dyDescent="0.35">
      <c r="A61" s="6">
        <v>2012</v>
      </c>
      <c r="B61" s="4">
        <v>257.34272666666698</v>
      </c>
      <c r="C61" s="4">
        <v>121.144259342517</v>
      </c>
      <c r="D61" s="4">
        <v>477.69468890000002</v>
      </c>
      <c r="E61" s="4">
        <v>15.875366833333301</v>
      </c>
    </row>
    <row r="62" spans="1:5" ht="18.5" x14ac:dyDescent="0.35">
      <c r="A62" s="6">
        <v>2013</v>
      </c>
      <c r="B62" s="4">
        <v>272.48054166666702</v>
      </c>
      <c r="C62" s="4">
        <v>128.27044660686701</v>
      </c>
      <c r="D62" s="4">
        <v>477.69468890000002</v>
      </c>
      <c r="E62" s="4">
        <v>15.875366833333301</v>
      </c>
    </row>
    <row r="63" spans="1:5" ht="18.5" x14ac:dyDescent="0.35">
      <c r="A63" s="6">
        <v>2014</v>
      </c>
      <c r="B63" s="4">
        <v>287.61835666666701</v>
      </c>
      <c r="C63" s="4">
        <v>135.39656970454999</v>
      </c>
      <c r="D63" s="4">
        <v>477.69468890000002</v>
      </c>
      <c r="E63" s="4">
        <v>15.875366833333301</v>
      </c>
    </row>
    <row r="64" spans="1:5" ht="18.5" x14ac:dyDescent="0.35">
      <c r="A64" s="6">
        <v>2015</v>
      </c>
      <c r="B64" s="4">
        <v>302.75610749999998</v>
      </c>
      <c r="C64" s="4">
        <v>142.52265426437501</v>
      </c>
      <c r="D64" s="4">
        <v>477.69468890000002</v>
      </c>
      <c r="E64" s="4">
        <v>15.875366833333301</v>
      </c>
    </row>
    <row r="65" spans="1:5" ht="18.5" x14ac:dyDescent="0.35">
      <c r="A65" s="6">
        <v>2016</v>
      </c>
      <c r="B65" s="4">
        <v>317.89398666666699</v>
      </c>
      <c r="C65" s="4">
        <v>149.64877736205801</v>
      </c>
      <c r="D65" s="4">
        <v>243.83061202499999</v>
      </c>
      <c r="E65" s="4">
        <v>7.0502483333333297</v>
      </c>
    </row>
    <row r="66" spans="1:5" ht="18.5" x14ac:dyDescent="0.35">
      <c r="A66" s="6">
        <v>2017</v>
      </c>
      <c r="B66" s="4">
        <v>333.03173750000002</v>
      </c>
      <c r="C66" s="4">
        <v>156.77496462640801</v>
      </c>
      <c r="D66" s="4">
        <v>255.44156137499999</v>
      </c>
      <c r="E66" s="4">
        <v>7.3860324999999998</v>
      </c>
    </row>
    <row r="67" spans="1:5" ht="18.5" x14ac:dyDescent="0.35">
      <c r="A67" s="6">
        <v>2018</v>
      </c>
      <c r="B67" s="4">
        <v>348.16961666666703</v>
      </c>
      <c r="C67" s="4">
        <v>163.90108772409201</v>
      </c>
      <c r="D67" s="4">
        <v>267.05258579999997</v>
      </c>
      <c r="E67" s="4">
        <v>7.7217525</v>
      </c>
    </row>
    <row r="68" spans="1:5" ht="18.5" x14ac:dyDescent="0.35">
      <c r="A68" s="6">
        <v>2019</v>
      </c>
      <c r="B68" s="4">
        <v>363.3073675</v>
      </c>
      <c r="C68" s="4">
        <v>171.027172283917</v>
      </c>
      <c r="D68" s="4">
        <v>278.66353514999997</v>
      </c>
      <c r="E68" s="4">
        <v>8.0574724999999994</v>
      </c>
    </row>
    <row r="69" spans="1:5" ht="18.5" x14ac:dyDescent="0.35">
      <c r="A69" s="6">
        <v>2020</v>
      </c>
      <c r="B69" s="4">
        <v>378.445246666667</v>
      </c>
      <c r="C69" s="4">
        <v>178.15335954826699</v>
      </c>
      <c r="D69" s="4">
        <v>290.27455957500001</v>
      </c>
      <c r="E69" s="4">
        <v>8.3931924999999996</v>
      </c>
    </row>
    <row r="70" spans="1:5" ht="18.5" x14ac:dyDescent="0.35">
      <c r="A70" s="6">
        <v>2021</v>
      </c>
      <c r="B70" s="4">
        <v>393.58299749999998</v>
      </c>
      <c r="C70" s="4">
        <v>185.27948264595</v>
      </c>
      <c r="D70" s="4">
        <v>301.88550892500001</v>
      </c>
      <c r="E70" s="4">
        <v>8.7289124999999999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6"/>
  <sheetViews>
    <sheetView workbookViewId="0">
      <selection activeCell="B36" sqref="B36"/>
    </sheetView>
  </sheetViews>
  <sheetFormatPr defaultRowHeight="14.5" x14ac:dyDescent="0.35"/>
  <cols>
    <col min="1" max="1" width="8.6328125" customWidth="1"/>
  </cols>
  <sheetData>
    <row r="2" spans="1:8" x14ac:dyDescent="0.35">
      <c r="A2" s="5" t="s">
        <v>36</v>
      </c>
      <c r="B2" s="3" t="s">
        <v>4</v>
      </c>
      <c r="C2" s="3" t="s">
        <v>6</v>
      </c>
      <c r="D2" s="3" t="s">
        <v>7</v>
      </c>
      <c r="E2" s="3" t="s">
        <v>8</v>
      </c>
      <c r="F2" s="3" t="s">
        <v>9</v>
      </c>
    </row>
    <row r="3" spans="1:8" ht="18.5" x14ac:dyDescent="0.35">
      <c r="A3" s="6">
        <v>1990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8" ht="18.5" x14ac:dyDescent="0.35">
      <c r="A4" s="6">
        <v>1991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8" ht="18.5" x14ac:dyDescent="0.35">
      <c r="A5" s="6">
        <v>1992</v>
      </c>
      <c r="B5" s="4">
        <v>0</v>
      </c>
      <c r="C5" s="4">
        <v>0</v>
      </c>
      <c r="D5" s="4">
        <v>0</v>
      </c>
      <c r="E5" s="4">
        <v>0</v>
      </c>
      <c r="F5" s="4">
        <v>0</v>
      </c>
    </row>
    <row r="6" spans="1:8" ht="18.5" x14ac:dyDescent="0.35">
      <c r="A6" s="6">
        <v>1993</v>
      </c>
      <c r="B6" s="4">
        <v>0</v>
      </c>
      <c r="C6" s="4">
        <v>0</v>
      </c>
      <c r="D6" s="4">
        <v>0</v>
      </c>
      <c r="E6" s="4">
        <v>0</v>
      </c>
      <c r="F6" s="4">
        <v>0</v>
      </c>
    </row>
    <row r="7" spans="1:8" ht="18.5" x14ac:dyDescent="0.35">
      <c r="A7" s="6">
        <v>1994</v>
      </c>
      <c r="B7" s="4">
        <v>0</v>
      </c>
      <c r="C7" s="4">
        <v>0</v>
      </c>
      <c r="D7" s="4">
        <v>0</v>
      </c>
      <c r="E7" s="4">
        <v>0</v>
      </c>
      <c r="F7" s="4">
        <v>0</v>
      </c>
    </row>
    <row r="8" spans="1:8" ht="18.5" x14ac:dyDescent="0.35">
      <c r="A8" s="6">
        <v>1995</v>
      </c>
      <c r="B8" s="4">
        <v>0</v>
      </c>
      <c r="C8" s="4">
        <v>0</v>
      </c>
      <c r="D8" s="4">
        <v>0</v>
      </c>
      <c r="E8" s="4">
        <v>0</v>
      </c>
      <c r="F8" s="4">
        <v>0</v>
      </c>
    </row>
    <row r="9" spans="1:8" ht="18.5" x14ac:dyDescent="0.35">
      <c r="A9" s="6">
        <v>1996</v>
      </c>
      <c r="B9" s="4">
        <v>-184239.07016824299</v>
      </c>
      <c r="C9" s="4">
        <v>-2831.0003988067101</v>
      </c>
      <c r="D9" s="4">
        <v>-235.104515593933</v>
      </c>
      <c r="E9" s="4">
        <v>-10.5680447018667</v>
      </c>
      <c r="F9" s="4">
        <v>-78.659893552533305</v>
      </c>
      <c r="G9">
        <f>SUM(B9:F9)</f>
        <v>-187394.40302089803</v>
      </c>
      <c r="H9">
        <v>187394.403020898</v>
      </c>
    </row>
    <row r="10" spans="1:8" ht="18.5" x14ac:dyDescent="0.35">
      <c r="A10" s="6">
        <v>1997</v>
      </c>
      <c r="B10" s="4">
        <v>-182558.095671741</v>
      </c>
      <c r="C10" s="4">
        <v>-5783.42180098888</v>
      </c>
      <c r="D10" s="4">
        <v>-487.91706690686698</v>
      </c>
      <c r="E10" s="4">
        <v>-21.366800998399999</v>
      </c>
      <c r="F10" s="4">
        <v>-157.56695706400001</v>
      </c>
    </row>
    <row r="11" spans="1:8" ht="18.5" x14ac:dyDescent="0.35">
      <c r="A11" s="6">
        <v>1998</v>
      </c>
      <c r="B11" s="4">
        <v>-180935.647041588</v>
      </c>
      <c r="C11" s="4">
        <v>-8675.1328095707904</v>
      </c>
      <c r="D11" s="4">
        <v>-731.87568314079999</v>
      </c>
      <c r="E11" s="4">
        <v>-32.050073557333299</v>
      </c>
      <c r="F11" s="4">
        <v>-236.35026334186699</v>
      </c>
    </row>
    <row r="12" spans="1:8" ht="18.5" x14ac:dyDescent="0.35">
      <c r="A12" s="6">
        <v>1999</v>
      </c>
      <c r="B12" s="4">
        <v>-180912.567374645</v>
      </c>
      <c r="C12" s="4">
        <v>-11566.843778447101</v>
      </c>
      <c r="D12" s="4">
        <v>-975.83427057746701</v>
      </c>
      <c r="E12" s="4">
        <v>-42.733385821866698</v>
      </c>
      <c r="F12" s="4">
        <v>-315.13381025573301</v>
      </c>
    </row>
    <row r="13" spans="1:8" ht="18.5" x14ac:dyDescent="0.35">
      <c r="A13" s="6">
        <v>2000</v>
      </c>
      <c r="B13" s="4">
        <v>-177690.74956345401</v>
      </c>
      <c r="C13" s="4">
        <v>-14458.554852363401</v>
      </c>
      <c r="D13" s="4">
        <v>-1219.7927212504001</v>
      </c>
      <c r="E13" s="4">
        <v>-53.416698086399997</v>
      </c>
      <c r="F13" s="4">
        <v>-393.91711653359999</v>
      </c>
    </row>
    <row r="14" spans="1:8" ht="18.5" x14ac:dyDescent="0.35">
      <c r="A14" s="6">
        <v>2001</v>
      </c>
      <c r="B14" s="4">
        <v>-176068.30089194101</v>
      </c>
      <c r="C14" s="4">
        <v>-17350.265644770399</v>
      </c>
      <c r="D14" s="4">
        <v>-1463.75133748433</v>
      </c>
      <c r="E14" s="4">
        <v>-64.1001868202667</v>
      </c>
      <c r="F14" s="4">
        <v>-472.70076731973302</v>
      </c>
    </row>
    <row r="15" spans="1:8" ht="18.5" x14ac:dyDescent="0.35">
      <c r="A15" s="6">
        <v>2002</v>
      </c>
      <c r="B15" s="4">
        <v>-174004.67888433801</v>
      </c>
      <c r="C15" s="4">
        <v>-20241.9766533523</v>
      </c>
      <c r="D15" s="4">
        <v>-1707.7099537182701</v>
      </c>
      <c r="E15" s="4">
        <v>-74.783459379199996</v>
      </c>
      <c r="F15" s="4">
        <v>-551.48407359759995</v>
      </c>
    </row>
    <row r="16" spans="1:8" ht="18.5" x14ac:dyDescent="0.35">
      <c r="A16" s="6">
        <v>2003</v>
      </c>
      <c r="B16" s="4">
        <v>-170920.84358586499</v>
      </c>
      <c r="C16" s="4">
        <v>-23133.687622228601</v>
      </c>
      <c r="D16" s="4">
        <v>-1951.6684043912001</v>
      </c>
      <c r="E16" s="4">
        <v>-85.466771643733296</v>
      </c>
      <c r="F16" s="4">
        <v>-629.05415320880002</v>
      </c>
    </row>
    <row r="17" spans="1:6" ht="18.5" x14ac:dyDescent="0.35">
      <c r="A17" s="7">
        <v>2004</v>
      </c>
      <c r="B17" s="4">
        <v>-171200.954739537</v>
      </c>
      <c r="C17" s="4">
        <v>-26025.398630810501</v>
      </c>
      <c r="D17" s="4">
        <v>-2195.6270206251302</v>
      </c>
      <c r="E17" s="4">
        <v>-96.150083908266694</v>
      </c>
      <c r="F17" s="4">
        <v>-709.05092678933295</v>
      </c>
    </row>
    <row r="18" spans="1:6" ht="18.5" x14ac:dyDescent="0.35">
      <c r="A18" s="6">
        <v>2005</v>
      </c>
      <c r="B18" s="4">
        <v>-169578.50610773001</v>
      </c>
      <c r="C18" s="4">
        <v>-28917.109423217498</v>
      </c>
      <c r="D18" s="4">
        <v>-2439.5856080618</v>
      </c>
      <c r="E18" s="4">
        <v>-106.83357264213301</v>
      </c>
      <c r="F18" s="4">
        <v>-787.83433693946699</v>
      </c>
    </row>
    <row r="19" spans="1:6" ht="18.5" x14ac:dyDescent="0.35">
      <c r="A19" s="6">
        <v>2006</v>
      </c>
      <c r="B19" s="4">
        <v>-167956.05743787199</v>
      </c>
      <c r="C19" s="4">
        <v>-31808.820431799399</v>
      </c>
      <c r="D19" s="4">
        <v>-2683.5440587347298</v>
      </c>
      <c r="E19" s="4">
        <v>-117.516845201067</v>
      </c>
      <c r="F19" s="4">
        <v>-866.61788385333296</v>
      </c>
    </row>
    <row r="20" spans="1:6" ht="18.5" x14ac:dyDescent="0.35">
      <c r="A20" s="6">
        <v>2007</v>
      </c>
      <c r="B20" s="4">
        <v>-166333.60862959601</v>
      </c>
      <c r="C20" s="4">
        <v>-34700.531400675703</v>
      </c>
      <c r="D20" s="4">
        <v>-2927.5026749686699</v>
      </c>
      <c r="E20" s="4">
        <v>-128.2001574656</v>
      </c>
      <c r="F20" s="4">
        <v>-945.4011901312</v>
      </c>
    </row>
    <row r="21" spans="1:6" ht="18.5" x14ac:dyDescent="0.35">
      <c r="A21" s="6">
        <v>2008</v>
      </c>
      <c r="B21" s="4">
        <v>-164711.15999944301</v>
      </c>
      <c r="C21" s="4">
        <v>-37592.242298122699</v>
      </c>
      <c r="D21" s="4">
        <v>-3171.4611256416001</v>
      </c>
      <c r="E21" s="4">
        <v>-138.88364619946699</v>
      </c>
      <c r="F21" s="4">
        <v>-1024.1844964090701</v>
      </c>
    </row>
    <row r="22" spans="1:6" ht="18.5" x14ac:dyDescent="0.35">
      <c r="A22" s="6">
        <v>2009</v>
      </c>
      <c r="B22" s="4">
        <v>-163088.711329585</v>
      </c>
      <c r="C22" s="4">
        <v>-40483.953469097098</v>
      </c>
      <c r="D22" s="4">
        <v>-3415.4197418755298</v>
      </c>
      <c r="E22" s="4">
        <v>-149.56695846400001</v>
      </c>
      <c r="F22" s="4">
        <v>-1102.9681471951999</v>
      </c>
    </row>
    <row r="23" spans="1:6" ht="18.5" x14ac:dyDescent="0.35">
      <c r="A23" s="6">
        <v>2010</v>
      </c>
      <c r="B23" s="4">
        <v>-161466.26252130899</v>
      </c>
      <c r="C23" s="4">
        <v>-43375.664477678998</v>
      </c>
      <c r="D23" s="4">
        <v>-3659.3783581094699</v>
      </c>
      <c r="E23" s="4">
        <v>-160.250270728533</v>
      </c>
      <c r="F23" s="4">
        <v>-1181.7514534730699</v>
      </c>
    </row>
    <row r="24" spans="1:6" ht="18.5" x14ac:dyDescent="0.35">
      <c r="A24" s="6">
        <v>2011</v>
      </c>
      <c r="B24" s="4">
        <v>-159843.81385145101</v>
      </c>
      <c r="C24" s="4">
        <v>-46267.375446555401</v>
      </c>
      <c r="D24" s="4">
        <v>-3903.3368087824001</v>
      </c>
      <c r="E24" s="4">
        <v>-170.93354328746699</v>
      </c>
      <c r="F24" s="4">
        <v>-1260.5350003869301</v>
      </c>
    </row>
    <row r="25" spans="1:6" ht="18.5" x14ac:dyDescent="0.35">
      <c r="A25" s="6">
        <v>2012</v>
      </c>
      <c r="B25" s="4">
        <v>-158221.36521964401</v>
      </c>
      <c r="C25" s="4">
        <v>-49159.086278667899</v>
      </c>
      <c r="D25" s="4">
        <v>-4147.2953962190704</v>
      </c>
      <c r="E25" s="4">
        <v>-181.61703202133299</v>
      </c>
      <c r="F25" s="4">
        <v>-1339.3184105370699</v>
      </c>
    </row>
    <row r="26" spans="1:6" ht="18.5" x14ac:dyDescent="0.35">
      <c r="A26" s="6">
        <v>2013</v>
      </c>
      <c r="B26" s="4">
        <v>-156598.91637331599</v>
      </c>
      <c r="C26" s="4">
        <v>-52050.7972475442</v>
      </c>
      <c r="D26" s="4">
        <v>-4391.2540124529996</v>
      </c>
      <c r="E26" s="4">
        <v>-192.300344285867</v>
      </c>
      <c r="F26" s="4">
        <v>-1418.1019574509301</v>
      </c>
    </row>
    <row r="27" spans="1:6" ht="18.5" x14ac:dyDescent="0.35">
      <c r="A27" s="6">
        <v>2014</v>
      </c>
      <c r="B27" s="4">
        <v>-154976.467741509</v>
      </c>
      <c r="C27" s="4">
        <v>-54942.508256126101</v>
      </c>
      <c r="D27" s="4">
        <v>-4635.2124631259303</v>
      </c>
      <c r="E27" s="4">
        <v>-202.98365655040001</v>
      </c>
      <c r="F27" s="4">
        <v>-1496.8852637288001</v>
      </c>
    </row>
    <row r="28" spans="1:6" ht="18.5" x14ac:dyDescent="0.35">
      <c r="A28" s="6">
        <v>2015</v>
      </c>
      <c r="B28" s="4">
        <v>-153354.01906723899</v>
      </c>
      <c r="C28" s="4">
        <v>-57834.219225002496</v>
      </c>
      <c r="D28" s="4">
        <v>-4879.1710793598704</v>
      </c>
      <c r="E28" s="4">
        <v>-213.66692910933301</v>
      </c>
      <c r="F28" s="4">
        <v>-1575.6685700066701</v>
      </c>
    </row>
    <row r="29" spans="1:6" ht="18.5" x14ac:dyDescent="0.35">
      <c r="A29" s="6">
        <v>2016</v>
      </c>
      <c r="B29" s="4">
        <v>-151731.570395727</v>
      </c>
      <c r="C29" s="4">
        <v>-60725.930057115002</v>
      </c>
      <c r="D29" s="4">
        <v>-5123.1296955937996</v>
      </c>
      <c r="E29" s="4">
        <v>-224.35041784320001</v>
      </c>
      <c r="F29" s="4">
        <v>-1654.4522207928001</v>
      </c>
    </row>
    <row r="30" spans="1:6" ht="18.5" x14ac:dyDescent="0.35">
      <c r="A30" s="6">
        <v>2017</v>
      </c>
      <c r="B30" s="4">
        <v>-150109.12158910499</v>
      </c>
      <c r="C30" s="4">
        <v>-63617.641091325699</v>
      </c>
      <c r="D30" s="4">
        <v>-5367.0881462667303</v>
      </c>
      <c r="E30" s="4">
        <v>-235.03373010773299</v>
      </c>
      <c r="F30" s="4">
        <v>-1733.2355270706701</v>
      </c>
    </row>
    <row r="31" spans="1:6" ht="18.5" x14ac:dyDescent="0.35">
      <c r="A31" s="6">
        <v>2018</v>
      </c>
      <c r="B31" s="4">
        <v>-146143.190805538</v>
      </c>
      <c r="C31" s="4">
        <v>-66509.352099907701</v>
      </c>
      <c r="D31" s="4">
        <v>-5611.0467337033997</v>
      </c>
      <c r="E31" s="4">
        <v>-245.717042372267</v>
      </c>
      <c r="F31" s="4">
        <v>-1812.01907398453</v>
      </c>
    </row>
    <row r="32" spans="1:6" ht="18.5" x14ac:dyDescent="0.35">
      <c r="A32" s="6">
        <v>2019</v>
      </c>
      <c r="B32" s="4">
        <v>-146864.22428744001</v>
      </c>
      <c r="C32" s="4">
        <v>-69401.063068784002</v>
      </c>
      <c r="D32" s="4">
        <v>-5855.0053499373298</v>
      </c>
      <c r="E32" s="4">
        <v>-256.4003149312</v>
      </c>
      <c r="F32" s="4">
        <v>-1890.8023802624</v>
      </c>
    </row>
    <row r="33" spans="1:8" ht="18.5" x14ac:dyDescent="0.35">
      <c r="A33" s="6">
        <v>2020</v>
      </c>
      <c r="B33" s="4">
        <v>-145241.775439458</v>
      </c>
      <c r="C33" s="4">
        <v>-72292.7739008965</v>
      </c>
      <c r="D33" s="4">
        <v>-6098.9638006102696</v>
      </c>
      <c r="E33" s="4">
        <v>-267.08380366506702</v>
      </c>
      <c r="F33" s="4">
        <v>-1969.58603104853</v>
      </c>
    </row>
    <row r="34" spans="1:8" ht="18.5" x14ac:dyDescent="0.35">
      <c r="A34" s="6">
        <v>2021</v>
      </c>
      <c r="B34" s="4">
        <v>-141540.96086411201</v>
      </c>
      <c r="C34" s="4">
        <v>-75184.484869772801</v>
      </c>
      <c r="D34" s="4">
        <v>-6342.9224168441997</v>
      </c>
      <c r="E34" s="4">
        <v>-277.76711592959998</v>
      </c>
      <c r="F34" s="4">
        <v>-2048.3693373264</v>
      </c>
      <c r="G34">
        <f>SUM(B34:F34)</f>
        <v>-225394.50460398503</v>
      </c>
      <c r="H34">
        <v>225394.504603985</v>
      </c>
    </row>
    <row r="35" spans="1:8" x14ac:dyDescent="0.35">
      <c r="H35">
        <f>(H34-H9)/H34*100</f>
        <v>16.859373590253522</v>
      </c>
    </row>
    <row r="36" spans="1:8" x14ac:dyDescent="0.35">
      <c r="B36">
        <f>((B9-B34)/B9)*100</f>
        <v>23.175382542443369</v>
      </c>
      <c r="D36">
        <f t="shared" ref="D36" si="0">((D9-D34)/D9)*100</f>
        <v>-2597.9160314383525</v>
      </c>
      <c r="E36">
        <f t="shared" ref="E36:F36" si="1">(E34-E9)/E9*100</f>
        <v>2528.3681018167554</v>
      </c>
      <c r="F36">
        <f t="shared" si="1"/>
        <v>2504.0835358598456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F34" sqref="F34"/>
    </sheetView>
  </sheetViews>
  <sheetFormatPr defaultColWidth="11.6328125" defaultRowHeight="15.5" x14ac:dyDescent="0.35"/>
  <cols>
    <col min="1" max="16384" width="11.6328125" style="12"/>
  </cols>
  <sheetData>
    <row r="1" spans="1:2" x14ac:dyDescent="0.35">
      <c r="A1" s="11" t="s">
        <v>44</v>
      </c>
      <c r="B1" s="11" t="s">
        <v>45</v>
      </c>
    </row>
    <row r="2" spans="1:2" x14ac:dyDescent="0.35">
      <c r="A2" s="13" t="s">
        <v>46</v>
      </c>
      <c r="B2" s="13">
        <v>11.9</v>
      </c>
    </row>
    <row r="3" spans="1:2" x14ac:dyDescent="0.35">
      <c r="A3" s="13" t="s">
        <v>47</v>
      </c>
      <c r="B3" s="13">
        <v>1.9</v>
      </c>
    </row>
    <row r="4" spans="1:2" x14ac:dyDescent="0.35">
      <c r="A4" s="13" t="s">
        <v>48</v>
      </c>
      <c r="B4" s="13">
        <v>0.4</v>
      </c>
    </row>
    <row r="5" spans="1:2" x14ac:dyDescent="0.35">
      <c r="A5" s="13" t="s">
        <v>49</v>
      </c>
      <c r="B5" s="13">
        <v>0.3</v>
      </c>
    </row>
    <row r="6" spans="1:2" x14ac:dyDescent="0.35">
      <c r="A6" s="13" t="s">
        <v>50</v>
      </c>
      <c r="B6" s="13">
        <v>1.7</v>
      </c>
    </row>
    <row r="7" spans="1:2" x14ac:dyDescent="0.35">
      <c r="A7" s="13" t="s">
        <v>51</v>
      </c>
      <c r="B7" s="13">
        <v>10.9</v>
      </c>
    </row>
    <row r="8" spans="1:2" x14ac:dyDescent="0.35">
      <c r="A8" s="13" t="s">
        <v>52</v>
      </c>
      <c r="B8" s="13">
        <v>6.6</v>
      </c>
    </row>
    <row r="9" spans="1:2" x14ac:dyDescent="0.35">
      <c r="A9" s="13" t="s">
        <v>53</v>
      </c>
      <c r="B9" s="13">
        <v>7.2</v>
      </c>
    </row>
    <row r="10" spans="1:2" x14ac:dyDescent="0.35">
      <c r="A10" s="13" t="s">
        <v>54</v>
      </c>
      <c r="B10" s="13">
        <v>0.7</v>
      </c>
    </row>
    <row r="11" spans="1:2" x14ac:dyDescent="0.35">
      <c r="A11" s="13" t="s">
        <v>55</v>
      </c>
      <c r="B11" s="13">
        <v>0.5</v>
      </c>
    </row>
    <row r="12" spans="1:2" x14ac:dyDescent="0.35">
      <c r="A12" s="13" t="s">
        <v>56</v>
      </c>
      <c r="B12" s="13">
        <v>1</v>
      </c>
    </row>
    <row r="13" spans="1:2" x14ac:dyDescent="0.35">
      <c r="A13" s="13" t="s">
        <v>57</v>
      </c>
      <c r="B13" s="13">
        <v>0.6</v>
      </c>
    </row>
    <row r="14" spans="1:2" x14ac:dyDescent="0.35">
      <c r="A14" s="13" t="s">
        <v>58</v>
      </c>
      <c r="B14" s="13">
        <v>3.6</v>
      </c>
    </row>
    <row r="15" spans="1:2" x14ac:dyDescent="0.35">
      <c r="A15" s="13" t="s">
        <v>59</v>
      </c>
      <c r="B15" s="13">
        <v>10.6</v>
      </c>
    </row>
    <row r="16" spans="1:2" x14ac:dyDescent="0.35">
      <c r="A16" s="13" t="s">
        <v>60</v>
      </c>
      <c r="B16" s="13">
        <v>1.7</v>
      </c>
    </row>
    <row r="17" spans="1:2" x14ac:dyDescent="0.35">
      <c r="A17" s="13" t="s">
        <v>61</v>
      </c>
      <c r="B17" s="13">
        <v>7.8</v>
      </c>
    </row>
    <row r="18" spans="1:2" x14ac:dyDescent="0.35">
      <c r="A18" s="13" t="s">
        <v>62</v>
      </c>
      <c r="B18" s="13">
        <v>1.9</v>
      </c>
    </row>
    <row r="19" spans="1:2" x14ac:dyDescent="0.35">
      <c r="A19" s="13" t="s">
        <v>63</v>
      </c>
      <c r="B19" s="13">
        <v>3.9</v>
      </c>
    </row>
    <row r="20" spans="1:2" x14ac:dyDescent="0.35">
      <c r="A20" s="13" t="s">
        <v>64</v>
      </c>
      <c r="B20" s="13">
        <v>3</v>
      </c>
    </row>
    <row r="21" spans="1:2" x14ac:dyDescent="0.35">
      <c r="A21" s="13" t="s">
        <v>65</v>
      </c>
      <c r="B21" s="13">
        <v>2.2000000000000002</v>
      </c>
    </row>
    <row r="22" spans="1:2" x14ac:dyDescent="0.35">
      <c r="A22" s="13" t="s">
        <v>66</v>
      </c>
      <c r="B22" s="13">
        <v>5.8</v>
      </c>
    </row>
    <row r="23" spans="1:2" x14ac:dyDescent="0.35">
      <c r="A23" s="13" t="s">
        <v>67</v>
      </c>
      <c r="B23" s="13">
        <v>1.3</v>
      </c>
    </row>
    <row r="24" spans="1:2" x14ac:dyDescent="0.35">
      <c r="A24" s="13" t="s">
        <v>68</v>
      </c>
      <c r="B24" s="13">
        <v>4.0999999999999996</v>
      </c>
    </row>
    <row r="25" spans="1:2" x14ac:dyDescent="0.35">
      <c r="A25" s="13" t="s">
        <v>69</v>
      </c>
      <c r="B25" s="13">
        <v>3.5</v>
      </c>
    </row>
    <row r="26" spans="1:2" x14ac:dyDescent="0.35">
      <c r="A26" s="13" t="s">
        <v>70</v>
      </c>
      <c r="B26" s="13">
        <v>2.2000000000000002</v>
      </c>
    </row>
    <row r="27" spans="1:2" x14ac:dyDescent="0.35">
      <c r="A27" s="13" t="s">
        <v>71</v>
      </c>
      <c r="B27" s="13">
        <v>1.4</v>
      </c>
    </row>
    <row r="28" spans="1:2" x14ac:dyDescent="0.35">
      <c r="A28" s="13" t="s">
        <v>72</v>
      </c>
      <c r="B28" s="13">
        <v>0.1</v>
      </c>
    </row>
    <row r="29" spans="1:2" x14ac:dyDescent="0.35">
      <c r="A29" s="13" t="s">
        <v>73</v>
      </c>
      <c r="B29" s="13">
        <v>1.9</v>
      </c>
    </row>
    <row r="30" spans="1:2" x14ac:dyDescent="0.35">
      <c r="A30" s="13" t="s">
        <v>74</v>
      </c>
      <c r="B30" s="13">
        <v>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8"/>
    </sheetView>
  </sheetViews>
  <sheetFormatPr defaultColWidth="11.6328125" defaultRowHeight="15.5" x14ac:dyDescent="0.35"/>
  <cols>
    <col min="1" max="16384" width="11.6328125" style="12"/>
  </cols>
  <sheetData>
    <row r="1" spans="1:2" x14ac:dyDescent="0.35">
      <c r="A1" s="11" t="s">
        <v>44</v>
      </c>
      <c r="B1" s="11" t="s">
        <v>45</v>
      </c>
    </row>
    <row r="2" spans="1:2" x14ac:dyDescent="0.35">
      <c r="A2" s="13" t="s">
        <v>75</v>
      </c>
      <c r="B2" s="13">
        <v>16.2</v>
      </c>
    </row>
    <row r="3" spans="1:2" x14ac:dyDescent="0.35">
      <c r="A3" s="13" t="s">
        <v>76</v>
      </c>
      <c r="B3" s="13">
        <v>17.5</v>
      </c>
    </row>
    <row r="4" spans="1:2" x14ac:dyDescent="0.35">
      <c r="A4" s="13" t="s">
        <v>77</v>
      </c>
      <c r="B4" s="13">
        <v>24.2</v>
      </c>
    </row>
    <row r="5" spans="1:2" x14ac:dyDescent="0.35">
      <c r="A5" s="13" t="s">
        <v>60</v>
      </c>
      <c r="B5" s="13">
        <v>1.7</v>
      </c>
    </row>
    <row r="6" spans="1:2" x14ac:dyDescent="0.35">
      <c r="A6" s="13" t="s">
        <v>61</v>
      </c>
      <c r="B6" s="13">
        <v>7.8</v>
      </c>
    </row>
    <row r="7" spans="1:2" x14ac:dyDescent="0.35">
      <c r="A7" s="13" t="s">
        <v>78</v>
      </c>
      <c r="B7" s="13">
        <v>5.8</v>
      </c>
    </row>
    <row r="8" spans="1:2" x14ac:dyDescent="0.35">
      <c r="A8" s="13" t="s">
        <v>64</v>
      </c>
      <c r="B8" s="13">
        <v>3</v>
      </c>
    </row>
    <row r="9" spans="1:2" x14ac:dyDescent="0.35">
      <c r="A9" s="13" t="s">
        <v>65</v>
      </c>
      <c r="B9" s="13">
        <v>2.2000000000000002</v>
      </c>
    </row>
    <row r="10" spans="1:2" x14ac:dyDescent="0.35">
      <c r="A10" s="13" t="s">
        <v>66</v>
      </c>
      <c r="B10" s="13">
        <v>5.8</v>
      </c>
    </row>
    <row r="11" spans="1:2" x14ac:dyDescent="0.35">
      <c r="A11" s="13" t="s">
        <v>67</v>
      </c>
      <c r="B11" s="13">
        <v>1.3</v>
      </c>
    </row>
    <row r="12" spans="1:2" x14ac:dyDescent="0.35">
      <c r="A12" s="13" t="s">
        <v>68</v>
      </c>
      <c r="B12" s="13">
        <v>4.0999999999999996</v>
      </c>
    </row>
    <row r="13" spans="1:2" x14ac:dyDescent="0.35">
      <c r="A13" s="13" t="s">
        <v>69</v>
      </c>
      <c r="B13" s="13">
        <v>3.5</v>
      </c>
    </row>
    <row r="14" spans="1:2" x14ac:dyDescent="0.35">
      <c r="A14" s="13" t="s">
        <v>70</v>
      </c>
      <c r="B14" s="13">
        <v>2.2000000000000002</v>
      </c>
    </row>
    <row r="15" spans="1:2" x14ac:dyDescent="0.35">
      <c r="A15" s="13" t="s">
        <v>71</v>
      </c>
      <c r="B15" s="13">
        <v>1.4</v>
      </c>
    </row>
    <row r="16" spans="1:2" x14ac:dyDescent="0.35">
      <c r="A16" s="13" t="s">
        <v>72</v>
      </c>
      <c r="B16" s="13">
        <v>0.1</v>
      </c>
    </row>
    <row r="17" spans="1:2" x14ac:dyDescent="0.35">
      <c r="A17" s="13" t="s">
        <v>73</v>
      </c>
      <c r="B17" s="13">
        <v>1.9</v>
      </c>
    </row>
    <row r="18" spans="1:2" x14ac:dyDescent="0.35">
      <c r="A18" s="13" t="s">
        <v>74</v>
      </c>
      <c r="B18" s="13">
        <v>1.3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9" sqref="B19"/>
    </sheetView>
  </sheetViews>
  <sheetFormatPr defaultColWidth="11.6328125" defaultRowHeight="15.5" x14ac:dyDescent="0.35"/>
  <cols>
    <col min="1" max="16384" width="11.6328125" style="12"/>
  </cols>
  <sheetData>
    <row r="1" spans="1:2" x14ac:dyDescent="0.35">
      <c r="A1" s="11" t="s">
        <v>79</v>
      </c>
      <c r="B1" s="11" t="s">
        <v>45</v>
      </c>
    </row>
    <row r="2" spans="1:2" x14ac:dyDescent="0.35">
      <c r="A2" s="13" t="s">
        <v>80</v>
      </c>
      <c r="B2" s="13">
        <v>73.2</v>
      </c>
    </row>
    <row r="3" spans="1:2" x14ac:dyDescent="0.35">
      <c r="A3" s="13" t="s">
        <v>81</v>
      </c>
      <c r="B3" s="13">
        <v>5.2</v>
      </c>
    </row>
    <row r="4" spans="1:2" x14ac:dyDescent="0.35">
      <c r="A4" s="13" t="s">
        <v>82</v>
      </c>
      <c r="B4" s="13">
        <v>3.2</v>
      </c>
    </row>
    <row r="5" spans="1:2" x14ac:dyDescent="0.35">
      <c r="A5" s="13" t="s">
        <v>83</v>
      </c>
      <c r="B5" s="13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Land</vt:lpstr>
      <vt:lpstr>LULUCF_Categories</vt:lpstr>
      <vt:lpstr>Grassland</vt:lpstr>
      <vt:lpstr>Cropland</vt:lpstr>
      <vt:lpstr>Settlement</vt:lpstr>
      <vt:lpstr>Forestland</vt:lpstr>
      <vt:lpstr>Sub-sector (further breakdown)</vt:lpstr>
      <vt:lpstr>Sub-sector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 Safiel</dc:creator>
  <cp:lastModifiedBy>user</cp:lastModifiedBy>
  <dcterms:created xsi:type="dcterms:W3CDTF">2024-12-24T07:15:37Z</dcterms:created>
  <dcterms:modified xsi:type="dcterms:W3CDTF">2025-11-11T10:28:47Z</dcterms:modified>
</cp:coreProperties>
</file>